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 PC\Desktop\Data Home\"/>
    </mc:Choice>
  </mc:AlternateContent>
  <xr:revisionPtr revIDLastSave="0" documentId="13_ncr:1_{6E56782B-E911-416C-8E69-47459DE601F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_Data" sheetId="1" r:id="rId1"/>
    <sheet name="Data_Issues" sheetId="4" r:id="rId2"/>
    <sheet name="Data_Issues_Guide" sheetId="2" r:id="rId3"/>
  </sheets>
  <definedNames>
    <definedName name="_xlnm._FilterDatabase" localSheetId="0" hidden="1">Raw_Data!$A$1:$U$201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</calcChain>
</file>

<file path=xl/sharedStrings.xml><?xml version="1.0" encoding="utf-8"?>
<sst xmlns="http://schemas.openxmlformats.org/spreadsheetml/2006/main" count="2181" uniqueCount="772">
  <si>
    <t>Full_Name</t>
  </si>
  <si>
    <t>Age</t>
  </si>
  <si>
    <t>Gender</t>
  </si>
  <si>
    <t>City</t>
  </si>
  <si>
    <t>Department</t>
  </si>
  <si>
    <t>Education_Level</t>
  </si>
  <si>
    <t>Employment_Status</t>
  </si>
  <si>
    <t>Monthly_Salary</t>
  </si>
  <si>
    <t>Email</t>
  </si>
  <si>
    <t>Phone_Number</t>
  </si>
  <si>
    <t>Hire_Date</t>
  </si>
  <si>
    <t>Performance_Score</t>
  </si>
  <si>
    <t>Years_Experience</t>
  </si>
  <si>
    <t>Has_Insurance</t>
  </si>
  <si>
    <t>Bonus_Percentage</t>
  </si>
  <si>
    <t>Male</t>
  </si>
  <si>
    <t>Kano</t>
  </si>
  <si>
    <t>IT</t>
  </si>
  <si>
    <t>PhD</t>
  </si>
  <si>
    <t>chioma.browncompany.com</t>
  </si>
  <si>
    <t>OND</t>
  </si>
  <si>
    <t>Inactive</t>
  </si>
  <si>
    <t>tunde.ibrahimcompany.com</t>
  </si>
  <si>
    <t>08048840994</t>
  </si>
  <si>
    <t>Karen Davis</t>
  </si>
  <si>
    <t>New York</t>
  </si>
  <si>
    <t>Legal</t>
  </si>
  <si>
    <t>High School</t>
  </si>
  <si>
    <t>karen.davis@company.com</t>
  </si>
  <si>
    <t>Yes</t>
  </si>
  <si>
    <t>Finance</t>
  </si>
  <si>
    <t>MSc</t>
  </si>
  <si>
    <t>On Leave</t>
  </si>
  <si>
    <t>08045812670</t>
  </si>
  <si>
    <t>HR</t>
  </si>
  <si>
    <t>yusuf.smith@company.com</t>
  </si>
  <si>
    <t>08020570592</t>
  </si>
  <si>
    <t>London</t>
  </si>
  <si>
    <t>thomas.ibrahim@company.com</t>
  </si>
  <si>
    <t>08054349361</t>
  </si>
  <si>
    <t>Chioma Brown</t>
  </si>
  <si>
    <t>Sales</t>
  </si>
  <si>
    <t>Active</t>
  </si>
  <si>
    <t>₦217,945</t>
  </si>
  <si>
    <t>chioma.brown@company.com</t>
  </si>
  <si>
    <t>0802-011-7988</t>
  </si>
  <si>
    <t>Female</t>
  </si>
  <si>
    <t>Ibadan</t>
  </si>
  <si>
    <t>Marketing</t>
  </si>
  <si>
    <t>karen.abubakar@company.com</t>
  </si>
  <si>
    <t>+2348081286543</t>
  </si>
  <si>
    <t>Linda Wilson</t>
  </si>
  <si>
    <t>Enugu</t>
  </si>
  <si>
    <t>No</t>
  </si>
  <si>
    <t>Port Harcourt</t>
  </si>
  <si>
    <t>tunde.obi@company.com</t>
  </si>
  <si>
    <t>08016818112</t>
  </si>
  <si>
    <t>Engineering</t>
  </si>
  <si>
    <t>jessica.jones@company.com</t>
  </si>
  <si>
    <t>Operations</t>
  </si>
  <si>
    <t>BSc</t>
  </si>
  <si>
    <t>ibrahim.abubakar@company.com</t>
  </si>
  <si>
    <t>08047463522</t>
  </si>
  <si>
    <t>Kaduna</t>
  </si>
  <si>
    <t>msc</t>
  </si>
  <si>
    <t>michael.wilson@company.com</t>
  </si>
  <si>
    <t>08099152472</t>
  </si>
  <si>
    <t>barbara.moore@company.com</t>
  </si>
  <si>
    <t>bsc</t>
  </si>
  <si>
    <t>richard.abubakar@company.com</t>
  </si>
  <si>
    <t>08072350830</t>
  </si>
  <si>
    <t>Benin City</t>
  </si>
  <si>
    <t>HND</t>
  </si>
  <si>
    <t>william.davis@company.com</t>
  </si>
  <si>
    <t>+2348020814950</t>
  </si>
  <si>
    <t>Lagos</t>
  </si>
  <si>
    <t>Susan@</t>
  </si>
  <si>
    <t>ngozi.nwosu@company.com</t>
  </si>
  <si>
    <t>08015403355</t>
  </si>
  <si>
    <t>Abuja</t>
  </si>
  <si>
    <t>james.moore@company.com</t>
  </si>
  <si>
    <t>08090585882</t>
  </si>
  <si>
    <t>Terminated</t>
  </si>
  <si>
    <t>chioma.wilson@company.com</t>
  </si>
  <si>
    <t>+2348070505620</t>
  </si>
  <si>
    <t>Sarah Obi</t>
  </si>
  <si>
    <t>sarah.obi@company.com</t>
  </si>
  <si>
    <t>08088055069</t>
  </si>
  <si>
    <t>sarah.wilson@company.com</t>
  </si>
  <si>
    <t>08046817443</t>
  </si>
  <si>
    <t>chioma.johnson@company.com</t>
  </si>
  <si>
    <t>0806-105-3474</t>
  </si>
  <si>
    <t>Barbara Johnson</t>
  </si>
  <si>
    <t>barbara.johnson@company.com</t>
  </si>
  <si>
    <t>0803-655-0845</t>
  </si>
  <si>
    <t>Lisa Johnson</t>
  </si>
  <si>
    <t>lisa.johnson@company.com</t>
  </si>
  <si>
    <t>emeka.nwosu@company.com</t>
  </si>
  <si>
    <t>08098269682</t>
  </si>
  <si>
    <t>₦737,310</t>
  </si>
  <si>
    <t>jennifer.moore@company.com</t>
  </si>
  <si>
    <t>robert.bello@company.com</t>
  </si>
  <si>
    <t>0808-162-1574</t>
  </si>
  <si>
    <t>david.johnson@company.com</t>
  </si>
  <si>
    <t>william.ibrahim@company.com</t>
  </si>
  <si>
    <t>0809-834-6110</t>
  </si>
  <si>
    <t>Joseph Johnson</t>
  </si>
  <si>
    <t>joseph.johnson@company.com</t>
  </si>
  <si>
    <t>08077349752</t>
  </si>
  <si>
    <t>Tunde Wilson</t>
  </si>
  <si>
    <t>tunde.wilson@company.com</t>
  </si>
  <si>
    <t>fatima.davis@company.com</t>
  </si>
  <si>
    <t>chioma.smith@company.com</t>
  </si>
  <si>
    <t>08026937148</t>
  </si>
  <si>
    <t>Patricia Okafor</t>
  </si>
  <si>
    <t>patricia.okafor@company.com</t>
  </si>
  <si>
    <t>08060015814</t>
  </si>
  <si>
    <t>ngozi.wilson@company.com</t>
  </si>
  <si>
    <t>08051471222</t>
  </si>
  <si>
    <t>Emeka Williams</t>
  </si>
  <si>
    <t>emeka.williams@company.com</t>
  </si>
  <si>
    <t>0808-960-9131</t>
  </si>
  <si>
    <t>Karen Adeyemi</t>
  </si>
  <si>
    <t>karen.adeyemi@company.com</t>
  </si>
  <si>
    <t>08048858073</t>
  </si>
  <si>
    <t>₦666,827</t>
  </si>
  <si>
    <t>patricia.eze@company.com</t>
  </si>
  <si>
    <t>08097980930</t>
  </si>
  <si>
    <t>mary.adeyemi@company.com</t>
  </si>
  <si>
    <t>0807-805-7490</t>
  </si>
  <si>
    <t>amara.ibrahim@company.com</t>
  </si>
  <si>
    <t>08096879854</t>
  </si>
  <si>
    <t>Chidi Okafor</t>
  </si>
  <si>
    <t>chidi.okafor@company.com</t>
  </si>
  <si>
    <t>+2348075266178</t>
  </si>
  <si>
    <t>Chidi Garcia</t>
  </si>
  <si>
    <t>chidi.garcia@company.com</t>
  </si>
  <si>
    <t>08042100652</t>
  </si>
  <si>
    <t>karen.brown@company.com</t>
  </si>
  <si>
    <t>08070549373</t>
  </si>
  <si>
    <t>Lisa Smith</t>
  </si>
  <si>
    <t>lisa.smith@company.com</t>
  </si>
  <si>
    <t>08026354208</t>
  </si>
  <si>
    <t>thomas.adeyemi@company.com</t>
  </si>
  <si>
    <t>john.ibrahim@company.com</t>
  </si>
  <si>
    <t>08014915156</t>
  </si>
  <si>
    <t>jessica.williams@company.com</t>
  </si>
  <si>
    <t>08069580374</t>
  </si>
  <si>
    <t>Susan Nwosu</t>
  </si>
  <si>
    <t>₦347,094</t>
  </si>
  <si>
    <t>susan.nwosu@company.com</t>
  </si>
  <si>
    <t>08097182566</t>
  </si>
  <si>
    <t>Aisha Ibrahim</t>
  </si>
  <si>
    <t>aisha.ibrahim@company.com</t>
  </si>
  <si>
    <t>+2348095590648</t>
  </si>
  <si>
    <t>thomas.bello@company.com</t>
  </si>
  <si>
    <t>Chioma Moore</t>
  </si>
  <si>
    <t>chioma.moore@company.com</t>
  </si>
  <si>
    <t>08085647532</t>
  </si>
  <si>
    <t>jessica.abubakar@company.com</t>
  </si>
  <si>
    <t>sarah.eze@company.com</t>
  </si>
  <si>
    <t>Lisa Musa</t>
  </si>
  <si>
    <t>lisa.musa@company.com</t>
  </si>
  <si>
    <t>08016080513</t>
  </si>
  <si>
    <t>Ngozi Musa</t>
  </si>
  <si>
    <t>ngozi.musa@company.com</t>
  </si>
  <si>
    <t>charles.obi@company.com</t>
  </si>
  <si>
    <t>ngozi.jones@company.com</t>
  </si>
  <si>
    <t>08096690951</t>
  </si>
  <si>
    <t>Yusuf Okafor</t>
  </si>
  <si>
    <t>yusuf.okafor@company.com</t>
  </si>
  <si>
    <t>William@</t>
  </si>
  <si>
    <t>0803-143-6829</t>
  </si>
  <si>
    <t>Fatima Miller</t>
  </si>
  <si>
    <t>fatima.miller@company.com</t>
  </si>
  <si>
    <t>+2348077845324</t>
  </si>
  <si>
    <t>Tunde Smith</t>
  </si>
  <si>
    <t>08014259382</t>
  </si>
  <si>
    <t>james.smith@company.com</t>
  </si>
  <si>
    <t>08025145751</t>
  </si>
  <si>
    <t>Thomas Moore</t>
  </si>
  <si>
    <t>thomas.moore@company.com</t>
  </si>
  <si>
    <t>0803-966-7854</t>
  </si>
  <si>
    <t>Barbara Jones</t>
  </si>
  <si>
    <t>08059805178</t>
  </si>
  <si>
    <t>tunde.brown@company.com</t>
  </si>
  <si>
    <t>08097069904</t>
  </si>
  <si>
    <t>robert.miller@company.com</t>
  </si>
  <si>
    <t>08065208920</t>
  </si>
  <si>
    <t>Richard Ibrahim</t>
  </si>
  <si>
    <t>richard.ibrahim@company.com</t>
  </si>
  <si>
    <t>karen.adeleke@company.com</t>
  </si>
  <si>
    <t>08019865900</t>
  </si>
  <si>
    <t>karen.williams@company.com</t>
  </si>
  <si>
    <t>698846.1</t>
  </si>
  <si>
    <t>david.musa@company.com</t>
  </si>
  <si>
    <t>08074291599</t>
  </si>
  <si>
    <t>joseph.miller@company.com</t>
  </si>
  <si>
    <t>08066791272</t>
  </si>
  <si>
    <t>chioma.nwosu@company.com</t>
  </si>
  <si>
    <t>0806-021-3478</t>
  </si>
  <si>
    <t>Joseph Okafor</t>
  </si>
  <si>
    <t>joseph.okafor@company.com</t>
  </si>
  <si>
    <t>08031493051</t>
  </si>
  <si>
    <t>chidi.williams@company.com</t>
  </si>
  <si>
    <t>jessica.garcia@company.com</t>
  </si>
  <si>
    <t>0801-128-6267</t>
  </si>
  <si>
    <t>patricia.adeleke@company.com</t>
  </si>
  <si>
    <t>08097734330</t>
  </si>
  <si>
    <t>chidi.johnson@company.com</t>
  </si>
  <si>
    <t>+2348022780905</t>
  </si>
  <si>
    <t>john.nwosu@company.com</t>
  </si>
  <si>
    <t>patricia.ibrahim@company.com</t>
  </si>
  <si>
    <t>08046778269</t>
  </si>
  <si>
    <t>James Smith</t>
  </si>
  <si>
    <t>+2348050165370</t>
  </si>
  <si>
    <t>patricia.jones@company.com</t>
  </si>
  <si>
    <t>08091549765</t>
  </si>
  <si>
    <t>Robert@</t>
  </si>
  <si>
    <t>08038956527</t>
  </si>
  <si>
    <t>charles.williams@company.com</t>
  </si>
  <si>
    <t>08033574794</t>
  </si>
  <si>
    <t>thomas.williams@company.com</t>
  </si>
  <si>
    <t>William Williams</t>
  </si>
  <si>
    <t>william.williams@company.com</t>
  </si>
  <si>
    <t>08047890586</t>
  </si>
  <si>
    <t>James Davis</t>
  </si>
  <si>
    <t>james.davis@company.com</t>
  </si>
  <si>
    <t>0804-196-6313</t>
  </si>
  <si>
    <t>₦309,002</t>
  </si>
  <si>
    <t>robert.davis@company.com</t>
  </si>
  <si>
    <t>+2348024626086</t>
  </si>
  <si>
    <t>Linda Adeyemi</t>
  </si>
  <si>
    <t>linda.adeyemi@company.com</t>
  </si>
  <si>
    <t>08072014395</t>
  </si>
  <si>
    <t>mary.ibrahim@company.com</t>
  </si>
  <si>
    <t>0804-756-1442</t>
  </si>
  <si>
    <t>98765.34</t>
  </si>
  <si>
    <t>08081059199</t>
  </si>
  <si>
    <t>Susan</t>
  </si>
  <si>
    <t>susan.adeleke@company.com</t>
  </si>
  <si>
    <t>+2348051480401</t>
  </si>
  <si>
    <t>ngozi.brown@company.com</t>
  </si>
  <si>
    <t>08068635481</t>
  </si>
  <si>
    <t>437253.24</t>
  </si>
  <si>
    <t>charles.johnson@company.com</t>
  </si>
  <si>
    <t>08021908603</t>
  </si>
  <si>
    <t>fatima.abubakarcompany.com</t>
  </si>
  <si>
    <t>+2348060393104</t>
  </si>
  <si>
    <t>William Moore</t>
  </si>
  <si>
    <t>william.moore@company.com</t>
  </si>
  <si>
    <t>0809-055-9564</t>
  </si>
  <si>
    <t>joseph.ibrahim@company.com</t>
  </si>
  <si>
    <t>+2348089151743</t>
  </si>
  <si>
    <t>ngozi.ibrahim@company.com</t>
  </si>
  <si>
    <t>08089865944</t>
  </si>
  <si>
    <t>Patricia Brown</t>
  </si>
  <si>
    <t>patricia.brown@company.com</t>
  </si>
  <si>
    <t>08033112256</t>
  </si>
  <si>
    <t>Ibrahim Davis</t>
  </si>
  <si>
    <t>ibrahim.davis@company.com</t>
  </si>
  <si>
    <t>08075023164</t>
  </si>
  <si>
    <t>susan.miller@company.com</t>
  </si>
  <si>
    <t>ngozi.smith@company.com</t>
  </si>
  <si>
    <t>0806-688-2385</t>
  </si>
  <si>
    <t>Ibrahim Wilson</t>
  </si>
  <si>
    <t>ibrahim.wilson@company.com</t>
  </si>
  <si>
    <t>Jennifer Obi</t>
  </si>
  <si>
    <t>jennifer.obi@company.com</t>
  </si>
  <si>
    <t>+2348021985619</t>
  </si>
  <si>
    <t>Richard Eze</t>
  </si>
  <si>
    <t>richard.eze@company.com</t>
  </si>
  <si>
    <t>08034207075</t>
  </si>
  <si>
    <t>James Johnson</t>
  </si>
  <si>
    <t>james.johnson@company.com</t>
  </si>
  <si>
    <t>08056217844</t>
  </si>
  <si>
    <t>chidi.nwosu@company.com</t>
  </si>
  <si>
    <t>08095942441</t>
  </si>
  <si>
    <t>+2348080215481</t>
  </si>
  <si>
    <t>08025555976</t>
  </si>
  <si>
    <t>0809-205-0405</t>
  </si>
  <si>
    <t>Amara Musa</t>
  </si>
  <si>
    <t>amara.musa@company.com</t>
  </si>
  <si>
    <t>Ibrahim Abubakar</t>
  </si>
  <si>
    <t>James Okafor</t>
  </si>
  <si>
    <t>james.okafor@company.com</t>
  </si>
  <si>
    <t>08064923338</t>
  </si>
  <si>
    <t>Thomas Jones</t>
  </si>
  <si>
    <t>thomas.jones@company.com</t>
  </si>
  <si>
    <t>+2348087652255</t>
  </si>
  <si>
    <t>mary.miller@company.com</t>
  </si>
  <si>
    <t>08070746206</t>
  </si>
  <si>
    <t>william.miller@company.com</t>
  </si>
  <si>
    <t>08035970823</t>
  </si>
  <si>
    <t>08019150490</t>
  </si>
  <si>
    <t>Fatima Bello</t>
  </si>
  <si>
    <t>fatima.bello@company.com</t>
  </si>
  <si>
    <t>0804-471-5141</t>
  </si>
  <si>
    <t>Barbara Ibrahim</t>
  </si>
  <si>
    <t>barbara.ibrahim@company.com</t>
  </si>
  <si>
    <t>08029337491</t>
  </si>
  <si>
    <t>jennifer.davis@company.com</t>
  </si>
  <si>
    <t>robert.adeleke@company.com</t>
  </si>
  <si>
    <t>0805-450-1625</t>
  </si>
  <si>
    <t>charles.adeleke@company.com</t>
  </si>
  <si>
    <t>08039971710</t>
  </si>
  <si>
    <t>Tunde Abubakar</t>
  </si>
  <si>
    <t>tunde.abubakar@company.com</t>
  </si>
  <si>
    <t>0806-208-8975</t>
  </si>
  <si>
    <t>richard.adeyemi@company.com</t>
  </si>
  <si>
    <t>+2348047689614</t>
  </si>
  <si>
    <t>mary.adeleke@company.com</t>
  </si>
  <si>
    <t>08048044635</t>
  </si>
  <si>
    <t>richard.jones@company.com</t>
  </si>
  <si>
    <t>amara.adeleke@company.com</t>
  </si>
  <si>
    <t>chidi.obi@company.com</t>
  </si>
  <si>
    <t>08098487446</t>
  </si>
  <si>
    <t>610586.39</t>
  </si>
  <si>
    <t>william.nwosu@company.com</t>
  </si>
  <si>
    <t>08088239864</t>
  </si>
  <si>
    <t>charles.wilson@company.com</t>
  </si>
  <si>
    <t>08074688940</t>
  </si>
  <si>
    <t>Aisha Adeleke</t>
  </si>
  <si>
    <t>aisha.adeleke@company.com</t>
  </si>
  <si>
    <t>08093026670</t>
  </si>
  <si>
    <t>linda.adeleke@company.com</t>
  </si>
  <si>
    <t>0807-955-2316</t>
  </si>
  <si>
    <t>ngozi.adeyemi@company.com</t>
  </si>
  <si>
    <t>0808-453-6479</t>
  </si>
  <si>
    <t>08057122567</t>
  </si>
  <si>
    <t>richard.williams@company.com</t>
  </si>
  <si>
    <t>john.brown@company.com</t>
  </si>
  <si>
    <t>08032898616</t>
  </si>
  <si>
    <t>0804-848-8577</t>
  </si>
  <si>
    <t>+2348065419020</t>
  </si>
  <si>
    <t>john.jones@company.com</t>
  </si>
  <si>
    <t>08029607576</t>
  </si>
  <si>
    <t>michael.abubakar@company.com</t>
  </si>
  <si>
    <t>08016991067</t>
  </si>
  <si>
    <t>jennifer.abubakar@company.com</t>
  </si>
  <si>
    <t>0802-688-8275</t>
  </si>
  <si>
    <t>susan.okafor@company.com</t>
  </si>
  <si>
    <t>08010096613</t>
  </si>
  <si>
    <t>Patricia Eze</t>
  </si>
  <si>
    <t>08089228847</t>
  </si>
  <si>
    <t>fatima.moore@company.com</t>
  </si>
  <si>
    <t>Ibrahim Adeyemi</t>
  </si>
  <si>
    <t>ibrahim.adeyemi@company.com</t>
  </si>
  <si>
    <t>0805-831-9528</t>
  </si>
  <si>
    <t>thomas.obi@company.com</t>
  </si>
  <si>
    <t>08050305910</t>
  </si>
  <si>
    <t>Aisha Bello</t>
  </si>
  <si>
    <t>aisha.bello@company.com</t>
  </si>
  <si>
    <t>+2348080363346</t>
  </si>
  <si>
    <t>mary.davis@company.com</t>
  </si>
  <si>
    <t>08048612439</t>
  </si>
  <si>
    <t>charles.eze@company.com</t>
  </si>
  <si>
    <t>08077276832</t>
  </si>
  <si>
    <t>yusuf.musa@company.com</t>
  </si>
  <si>
    <t>+2348080303981</t>
  </si>
  <si>
    <t>michael.miller@company.com</t>
  </si>
  <si>
    <t>0805-199-6390</t>
  </si>
  <si>
    <t>+2348083337520</t>
  </si>
  <si>
    <t>lisa.garcia@company.com</t>
  </si>
  <si>
    <t>0801-688-6777</t>
  </si>
  <si>
    <t>Joseph Williams</t>
  </si>
  <si>
    <t>Joseph@</t>
  </si>
  <si>
    <t>+2348014928616</t>
  </si>
  <si>
    <t>mary.williams@company.com</t>
  </si>
  <si>
    <t>08046831833</t>
  </si>
  <si>
    <t>lisa.adeyemi@company.com</t>
  </si>
  <si>
    <t>08035978571</t>
  </si>
  <si>
    <t>aisha.adeyemi@company.com</t>
  </si>
  <si>
    <t>08025682621</t>
  </si>
  <si>
    <t>+2348027812995</t>
  </si>
  <si>
    <t>william.obi@company.com</t>
  </si>
  <si>
    <t>08083734610</t>
  </si>
  <si>
    <t>08097167893</t>
  </si>
  <si>
    <t>Aisha Okafor</t>
  </si>
  <si>
    <t>aisha.okafor@company.com</t>
  </si>
  <si>
    <t>0807-850-7933</t>
  </si>
  <si>
    <t>karen.miller@company.com</t>
  </si>
  <si>
    <t>08028022414</t>
  </si>
  <si>
    <t>susan.davis@company.com</t>
  </si>
  <si>
    <t>emeka.obi@company.com</t>
  </si>
  <si>
    <t>08057367387</t>
  </si>
  <si>
    <t>chidi.wilson@company.com</t>
  </si>
  <si>
    <t>08059629263</t>
  </si>
  <si>
    <t>charles.adeyemi@company.com</t>
  </si>
  <si>
    <t>0806-235-4374</t>
  </si>
  <si>
    <t>william.brown@company.com</t>
  </si>
  <si>
    <t>08034148004</t>
  </si>
  <si>
    <t>John Musa</t>
  </si>
  <si>
    <t>08047095573</t>
  </si>
  <si>
    <t>sarah.brown@company.com</t>
  </si>
  <si>
    <t>08069845276</t>
  </si>
  <si>
    <t>Karen</t>
  </si>
  <si>
    <t>08096848857</t>
  </si>
  <si>
    <t>08012203625</t>
  </si>
  <si>
    <t>08024271532</t>
  </si>
  <si>
    <t>ngozi.bello@company.com</t>
  </si>
  <si>
    <t>08031173338</t>
  </si>
  <si>
    <t>Jennifer Abubakar</t>
  </si>
  <si>
    <t>Mary Obi</t>
  </si>
  <si>
    <t>mary.obi@company.com</t>
  </si>
  <si>
    <t>+2348053712695</t>
  </si>
  <si>
    <t>chioma.adeyemi@company.com</t>
  </si>
  <si>
    <t>+2348056113991</t>
  </si>
  <si>
    <t>0802-315-3230</t>
  </si>
  <si>
    <t>richard.garcia@company.com</t>
  </si>
  <si>
    <t>amara.miller@company.com</t>
  </si>
  <si>
    <t>08040257672</t>
  </si>
  <si>
    <t>287628.34</t>
  </si>
  <si>
    <t>08030199508</t>
  </si>
  <si>
    <t>08074994010</t>
  </si>
  <si>
    <t>david.adeleke@company.com</t>
  </si>
  <si>
    <t>0803-957-6862</t>
  </si>
  <si>
    <t>ibrahim.bello@company.com</t>
  </si>
  <si>
    <t>08069391930</t>
  </si>
  <si>
    <t>Tunde@</t>
  </si>
  <si>
    <t>Column</t>
  </si>
  <si>
    <t>Issue Type</t>
  </si>
  <si>
    <t>Description</t>
  </si>
  <si>
    <t>Inconsistent formatting</t>
  </si>
  <si>
    <t>Mixed case, extra spaces, missing last names</t>
  </si>
  <si>
    <t>Outliers &amp; Missing</t>
  </si>
  <si>
    <t>Values like 0, 150, 999, -5 and nulls</t>
  </si>
  <si>
    <t>Inconsistent categories</t>
  </si>
  <si>
    <t>M/F/Male/Female/MALE/FEMALE/Unknown/blank</t>
  </si>
  <si>
    <t>Mixed case &amp; Missing</t>
  </si>
  <si>
    <t>Some cities in ALL CAPS, some nulls</t>
  </si>
  <si>
    <t>Some in lowercase, some nulls</t>
  </si>
  <si>
    <t>BSc/B.Sc/bsc all mean the same</t>
  </si>
  <si>
    <t>Active/active/ACTIVE and blanks</t>
  </si>
  <si>
    <t>Mixed types &amp; Negatives</t>
  </si>
  <si>
    <t>Numbers, strings with ₦ symbol, negatives, nulls</t>
  </si>
  <si>
    <t>Multiple date formats</t>
  </si>
  <si>
    <t>YYYY-MM-DD, DD/MM/YYYY, MM-DD-YYYY, DD-Mon-YYYY</t>
  </si>
  <si>
    <t>Valid range 1-10; values like 0, 11, 100, -1</t>
  </si>
  <si>
    <t>Missing values</t>
  </si>
  <si>
    <t>Random nulls</t>
  </si>
  <si>
    <t>Yes/No/yes/no/YES/NO and nulls</t>
  </si>
  <si>
    <t>Random nulls (~6%)</t>
  </si>
  <si>
    <t>Duplicates</t>
  </si>
  <si>
    <t>Duplicate rows</t>
  </si>
  <si>
    <t>~8 fully duplicated rows injected</t>
  </si>
  <si>
    <t>Full Name</t>
  </si>
  <si>
    <t>Tunde Ibrahim</t>
  </si>
  <si>
    <t>Jennifer Bello</t>
  </si>
  <si>
    <t>Yusuf Smith</t>
  </si>
  <si>
    <t>Thomas Ibrahim</t>
  </si>
  <si>
    <t>Karen Abubakar</t>
  </si>
  <si>
    <t>Tunde Obi</t>
  </si>
  <si>
    <t>Jessica Jones</t>
  </si>
  <si>
    <t>Michael Wilson</t>
  </si>
  <si>
    <t>Barbara Moore</t>
  </si>
  <si>
    <t>Richard Abubakar</t>
  </si>
  <si>
    <t>William Davis</t>
  </si>
  <si>
    <t>Susan Moore</t>
  </si>
  <si>
    <t>Ngozi Nwosu</t>
  </si>
  <si>
    <t>James Moore</t>
  </si>
  <si>
    <t>Chioma Wilson</t>
  </si>
  <si>
    <t>Sarah Wilson</t>
  </si>
  <si>
    <t>Chioma Johnson</t>
  </si>
  <si>
    <t>Emeka Nwosu</t>
  </si>
  <si>
    <t>Jennifer Moore</t>
  </si>
  <si>
    <t>Robert Bello</t>
  </si>
  <si>
    <t>David Johnson</t>
  </si>
  <si>
    <t>William Ibrahim</t>
  </si>
  <si>
    <t>Fatima Davis</t>
  </si>
  <si>
    <t>Chioma Smith</t>
  </si>
  <si>
    <t>Ngozi Wilson</t>
  </si>
  <si>
    <t>Mary Adeyemi</t>
  </si>
  <si>
    <t>Amara Ibrahim</t>
  </si>
  <si>
    <t>Karen Brown</t>
  </si>
  <si>
    <t>Thomas Adeyemi</t>
  </si>
  <si>
    <t>John Ibrahim</t>
  </si>
  <si>
    <t>Jessica Williams</t>
  </si>
  <si>
    <t>Thomas Bello</t>
  </si>
  <si>
    <t>Jessica Abubakar</t>
  </si>
  <si>
    <t>Sarah Eze</t>
  </si>
  <si>
    <t>Barbara Abubakar</t>
  </si>
  <si>
    <t>Charles Obi</t>
  </si>
  <si>
    <t>Ngozi Jones</t>
  </si>
  <si>
    <t>William Nwosu</t>
  </si>
  <si>
    <t>Tunde Brown</t>
  </si>
  <si>
    <t>Robert Miller</t>
  </si>
  <si>
    <t>John Jones</t>
  </si>
  <si>
    <t>Karen Adeleke</t>
  </si>
  <si>
    <t>Karen Williams</t>
  </si>
  <si>
    <t>David Musa</t>
  </si>
  <si>
    <t>Joseph Miller</t>
  </si>
  <si>
    <t>Chioma Nwosu</t>
  </si>
  <si>
    <t>Chidi Williams</t>
  </si>
  <si>
    <t>Jessica Garcia</t>
  </si>
  <si>
    <t>Patricia Adeleke</t>
  </si>
  <si>
    <t>Chidi Johnson</t>
  </si>
  <si>
    <t>John Nwosu</t>
  </si>
  <si>
    <t>Patricia Ibrahim</t>
  </si>
  <si>
    <t>Patricia Jones</t>
  </si>
  <si>
    <t>Robert Nwosu</t>
  </si>
  <si>
    <t>Charles Williams</t>
  </si>
  <si>
    <t>Thomas Williams</t>
  </si>
  <si>
    <t>Robert Davis</t>
  </si>
  <si>
    <t>Mary Ibrahim</t>
  </si>
  <si>
    <t>Ngozi Brown</t>
  </si>
  <si>
    <t>Charles Johnson</t>
  </si>
  <si>
    <t>Fatima Abubakar</t>
  </si>
  <si>
    <t>Joseph Ibrahim</t>
  </si>
  <si>
    <t>Ngozi Ibrahim</t>
  </si>
  <si>
    <t>Susan Miller</t>
  </si>
  <si>
    <t>Ngozi Smith</t>
  </si>
  <si>
    <t>Chidi Nwosu</t>
  </si>
  <si>
    <t>Mary Miller</t>
  </si>
  <si>
    <t>William Miller</t>
  </si>
  <si>
    <t>Jennifer Davis</t>
  </si>
  <si>
    <t>Robert Adeleke</t>
  </si>
  <si>
    <t>Charles Adeleke</t>
  </si>
  <si>
    <t>Richard Adeyemi</t>
  </si>
  <si>
    <t>Mary Adeleke</t>
  </si>
  <si>
    <t>Richard Jones</t>
  </si>
  <si>
    <t>Amara Adeleke</t>
  </si>
  <si>
    <t>Chidi Obi</t>
  </si>
  <si>
    <t>Charles Wilson</t>
  </si>
  <si>
    <t>Linda Adeleke</t>
  </si>
  <si>
    <t>Ngozi Adeyemi</t>
  </si>
  <si>
    <t>Richard Williams</t>
  </si>
  <si>
    <t>John Brown</t>
  </si>
  <si>
    <t>Michael Abubakar</t>
  </si>
  <si>
    <t>Susan Okafor</t>
  </si>
  <si>
    <t>Fatima Moore</t>
  </si>
  <si>
    <t>Thomas Obi</t>
  </si>
  <si>
    <t>Mary Davis</t>
  </si>
  <si>
    <t>Charles Eze</t>
  </si>
  <si>
    <t>Yusuf Musa</t>
  </si>
  <si>
    <t>Michael Miller</t>
  </si>
  <si>
    <t>Lisa Garcia</t>
  </si>
  <si>
    <t>Mary Williams</t>
  </si>
  <si>
    <t>Lisa Adeyemi</t>
  </si>
  <si>
    <t>Aisha Adeyemi</t>
  </si>
  <si>
    <t>William Obi</t>
  </si>
  <si>
    <t>Sarah Brown</t>
  </si>
  <si>
    <t>Karen Miller</t>
  </si>
  <si>
    <t>Susan Davis</t>
  </si>
  <si>
    <t>Emeka Obi</t>
  </si>
  <si>
    <t>Chidi Wilson</t>
  </si>
  <si>
    <t>Charles Adeyemi</t>
  </si>
  <si>
    <t>William Brown</t>
  </si>
  <si>
    <t>Ngozi Bello</t>
  </si>
  <si>
    <t>Chioma Adeyemi</t>
  </si>
  <si>
    <t>Richard Garcia</t>
  </si>
  <si>
    <t>Amara Miller</t>
  </si>
  <si>
    <t>David Adeleke</t>
  </si>
  <si>
    <t>Ibrahim Bello</t>
  </si>
  <si>
    <t>Tunde Adeyemi</t>
  </si>
  <si>
    <t>N/A</t>
  </si>
  <si>
    <t>Month</t>
  </si>
  <si>
    <t>Employer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</si>
  <si>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</si>
  <si>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</si>
  <si>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</si>
  <si>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</si>
  <si>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</si>
  <si>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</si>
  <si>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</si>
  <si>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</si>
  <si>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</si>
  <si>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</si>
  <si>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</si>
  <si>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</si>
  <si>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</si>
  <si>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</si>
  <si>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</si>
  <si>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</si>
  <si>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</si>
  <si>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</si>
  <si>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</si>
  <si>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</si>
  <si>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</si>
  <si>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</si>
  <si>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</si>
  <si>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</si>
  <si>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</si>
  <si>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</si>
  <si>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</si>
  <si>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</si>
  <si>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</si>
  <si>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</si>
  <si>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</si>
  <si>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</si>
  <si>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</si>
  <si>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</si>
  <si>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</si>
  <si>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</si>
  <si>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</si>
  <si>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</si>
  <si>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</si>
  <si>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</si>
  <si>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</si>
  <si>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</si>
  <si>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</si>
  <si>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</si>
  <si>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</si>
  <si>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</si>
  <si>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</si>
  <si>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</si>
  <si>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</si>
  <si>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</si>
  <si>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</si>
  <si>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</si>
  <si>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</si>
  <si>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</si>
  <si>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</si>
  <si>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</si>
  <si>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</si>
  <si>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</si>
  <si>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</si>
  <si>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</si>
  <si>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</si>
  <si>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</si>
  <si>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</si>
  <si>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</si>
  <si>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</si>
  <si>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</si>
  <si>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</si>
  <si>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</si>
  <si>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</si>
  <si>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</si>
  <si>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</si>
  <si>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</si>
  <si>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</si>
  <si>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</si>
  <si>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</si>
  <si>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</si>
  <si>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</si>
  <si>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</si>
  <si>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</si>
  <si>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</si>
  <si>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</si>
  <si>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</si>
  <si>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</si>
  <si>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</si>
  <si>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</si>
  <si>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</si>
  <si>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</si>
  <si>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</si>
  <si>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</si>
  <si>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</si>
  <si>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</si>
  <si>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</si>
  <si>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</si>
  <si>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</si>
  <si>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</si>
  <si>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</si>
  <si>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</si>
  <si>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</si>
  <si>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</si>
  <si>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</si>
  <si>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</si>
  <si>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</si>
  <si>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</si>
  <si>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</si>
  <si>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</si>
  <si>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</si>
  <si>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</si>
  <si>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</si>
  <si>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</si>
  <si>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</si>
  <si>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</si>
  <si>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</si>
  <si>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</si>
  <si>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</si>
  <si>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</si>
  <si>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</si>
  <si>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</si>
  <si>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</si>
  <si>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</si>
  <si>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</si>
  <si>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</si>
  <si>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</si>
  <si>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</si>
  <si>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</si>
  <si>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</si>
  <si>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</si>
  <si>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</si>
  <si>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</si>
  <si>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</si>
  <si>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</si>
  <si>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</si>
  <si>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</si>
  <si>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</si>
  <si>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</si>
  <si>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</si>
  <si>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</si>
  <si>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</si>
  <si>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</si>
  <si>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</si>
  <si>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</si>
  <si>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</si>
  <si>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</si>
  <si>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</si>
  <si>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</si>
  <si>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</si>
  <si>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</si>
  <si>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</si>
  <si>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</si>
  <si>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</si>
  <si>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</si>
  <si>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</si>
  <si>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</si>
  <si>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</si>
  <si>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</si>
  <si>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</si>
  <si>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</si>
  <si>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</si>
  <si>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</si>
  <si>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</si>
  <si>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</si>
  <si>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</si>
  <si>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</si>
  <si>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</si>
  <si>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</si>
  <si>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</si>
  <si>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</si>
  <si>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</si>
  <si>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</si>
  <si>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</si>
  <si>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</si>
  <si>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</si>
  <si>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</si>
  <si>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</si>
  <si>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</si>
  <si>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</si>
  <si>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</si>
  <si>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</si>
  <si>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</si>
  <si>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</si>
  <si>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</si>
  <si>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</si>
  <si>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</si>
  <si>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</si>
  <si>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</si>
  <si>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</si>
  <si>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</si>
  <si>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</si>
  <si>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</si>
  <si>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</si>
  <si>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</si>
  <si>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</si>
  <si>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</si>
  <si>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</si>
  <si>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</si>
  <si>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</si>
  <si>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</si>
  <si>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</si>
  <si>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</si>
  <si>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</si>
  <si>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</si>
  <si>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No Employer ID</t>
  </si>
  <si>
    <t>Create employer ID for easy indentify</t>
  </si>
  <si>
    <t xml:space="preserve">Solution </t>
  </si>
  <si>
    <t>Blank</t>
  </si>
  <si>
    <t>convert blank, negative numbers and number above eighty to N/A</t>
  </si>
  <si>
    <t>Inconsistent formatting and Blank</t>
  </si>
  <si>
    <t xml:space="preserve"> Provide proper Format </t>
  </si>
  <si>
    <t xml:space="preserve"> Proper Proper format </t>
  </si>
  <si>
    <t xml:space="preserve">Department </t>
  </si>
  <si>
    <t xml:space="preserve">Inconsistent formatting </t>
  </si>
  <si>
    <t xml:space="preserve"> Provide proper Format  </t>
  </si>
  <si>
    <t>Date</t>
  </si>
  <si>
    <t>Years</t>
  </si>
  <si>
    <t>Monthly_Salary2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</si>
</sst>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_-;\-[$$-1009]* #,##0_-;_-[$$-1009]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B4332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3" fillId="4" borderId="0" xfId="0" applyFont="1" applyFill="1"/>
    <xf numFmtId="0" fontId="4" fillId="3" borderId="0" xfId="0" applyFont="1" applyFill="1"/>
    <xf numFmtId="0" fontId="2" fillId="4" borderId="0" xfId="0" applyFont="1" applyFill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0" fillId="0" borderId="0" xfId="0" applyNumberFormat="1"/>
    <xf numFmtId="164" fontId="4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14" fontId="4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4" formatCode="_-[$$-1009]* #,##0_-;\-[$$-1009]* #,##0_-;_-[$$-1009]* &quot;-&quot;_-;_-@_-"/>
    </dxf>
    <dxf>
      <numFmt numFmtId="164" formatCode="_-[$$-1009]* #,##0_-;\-[$$-1009]* #,##0_-;_-[$$-1009]* &quot;-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5F5FE0-1B6A-45B8-A611-2356E1ACAAD5}" name="Table2" displayName="Table2" ref="A1:T201" totalsRowShown="0" dataDxfId="18">
  <autoFilter ref="A1:T201" xr:uid="{705F5FE0-1B6A-45B8-A611-2356E1ACAAD5}"/>
  <tableColumns count="20">
    <tableColumn id="1" xr3:uid="{26C0293D-C1CC-47D6-838B-BF8660551BF5}" name="Employer ID"/>
    <tableColumn id="2" xr3:uid="{D9289766-3E41-4F9D-968C-CC0D96CAD4A1}" name="Full_Name" dataDxfId="17"/>
    <tableColumn id="3" xr3:uid="{F37481AF-5C61-43DE-8C68-F1E99484A0F6}" name="Age" dataDxfId="16"/>
    <tableColumn id="4" xr3:uid="{E3A3B88C-D842-4D18-B957-BBC8F2040C96}" name="Gender" dataDxfId="15"/>
    <tableColumn id="5" xr3:uid="{E7468F81-7295-4349-97AC-F8842C288AD4}" name="City" dataDxfId="14"/>
    <tableColumn id="6" xr3:uid="{08F76FF6-1E72-41D6-A72E-AF2819CE145A}" name="Department" dataDxfId="13"/>
    <tableColumn id="7" xr3:uid="{52752666-7663-4168-9D75-841F53D8B170}" name="Education_Level" dataDxfId="12"/>
    <tableColumn id="8" xr3:uid="{85AD1726-E395-467F-82C0-B49A52C744E7}" name="Employment_Status" dataDxfId="11"/>
    <tableColumn id="9" xr3:uid="{5DD647E9-7973-4CE7-8AFD-F7158804927F}" name="Monthly_Salary" dataDxfId="10"/>
    <tableColumn id="10" xr3:uid="{E63AA187-38F6-4662-9761-6AE77621A6F3}" name="Monthly_Salary2" dataDxfId="9"/>
    <tableColumn id="11" xr3:uid="{1E98455B-95B5-4C4C-8E40-B96A86DADA2F}" name="Email"/>
    <tableColumn id="12" xr3:uid="{04029B68-AFB5-45A3-A86D-219A488519D5}" name="Phone_Number" dataDxfId="8"/>
    <tableColumn id="13" xr3:uid="{E98BD33E-D61A-4D75-8146-E26364619EAF}" name="Hire_Date" dataDxfId="7"/>
    <tableColumn id="14" xr3:uid="{BE4623A3-7DEB-49B0-A3BC-E892D20606B8}" name="Date" dataDxfId="6">
      <calculatedColumnFormula>TEXT(M2,"ddd")</calculatedColumnFormula>
    </tableColumn>
    <tableColumn id="15" xr3:uid="{DA9CE039-8A95-4CEB-A496-A337C88EADDB}" name="Month" dataDxfId="5">
      <calculatedColumnFormula>TEXT(M2,"mmm")</calculatedColumnFormula>
    </tableColumn>
    <tableColumn id="16" xr3:uid="{C17274DB-8DF1-44B4-955C-F042D49E0AFB}" name="Years" dataDxfId="4">
      <calculatedColumnFormula>TEXT(M2,"yyyy")</calculatedColumnFormula>
    </tableColumn>
    <tableColumn id="17" xr3:uid="{D2164D90-4240-404E-8F35-FF8F54085F1B}" name="Performance_Score" dataDxfId="3"/>
    <tableColumn id="18" xr3:uid="{6C3E5DB5-3E0D-4D1B-8251-057D6BE37E58}" name="Years_Experience" dataDxfId="2"/>
    <tableColumn id="19" xr3:uid="{81CEC68E-EB5A-4D46-AB29-D3ABB528B021}" name="Has_Insurance" dataDxfId="1"/>
    <tableColumn id="20" xr3:uid="{DAFC48FB-C835-4C07-9128-C99F71924424}" name="Bonus_Percentage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workbookViewId="0">
      <pane ySplit="1" topLeftCell="A2" activePane="bottomLeft" state="frozen"/>
      <selection pane="bottomLeft" activeCell="E10" sqref="E10"/>
    </sheetView>
  </sheetViews>
  <sheetFormatPr defaultRowHeight="14.5" x14ac:dyDescent="0.35"/>
  <cols>
    <col min="1" max="1" width="13" customWidth="1"/>
    <col min="2" max="2" width="24" style="6" customWidth="1"/>
    <col min="3" max="3" width="9" style="6" customWidth="1"/>
    <col min="4" max="4" width="11" style="6" customWidth="1"/>
    <col min="5" max="5" width="17" style="6" customWidth="1"/>
    <col min="6" max="6" width="15" style="6" customWidth="1"/>
    <col min="7" max="7" width="19" style="6" customWidth="1"/>
    <col min="8" max="8" width="21.453125" style="6" customWidth="1"/>
    <col min="9" max="9" width="18.08984375" style="8" customWidth="1"/>
    <col min="10" max="10" width="19.1796875" style="8" customWidth="1"/>
    <col min="11" max="11" width="30" customWidth="1"/>
    <col min="12" max="12" width="18" style="6" customWidth="1"/>
    <col min="13" max="13" width="15" style="11" customWidth="1"/>
    <col min="14" max="16" width="15" style="13" customWidth="1"/>
    <col min="17" max="17" width="21.26953125" style="6" customWidth="1"/>
    <col min="18" max="18" width="20" style="6" customWidth="1"/>
    <col min="19" max="19" width="17" style="6" customWidth="1"/>
    <col min="20" max="20" width="20.54296875" style="6" customWidth="1"/>
  </cols>
  <sheetData>
    <row r="1" spans="1:20" x14ac:dyDescent="0.35">
      <c r="A1" s="5" t="s">
        <v>557</v>
      </c>
      <c r="B1" s="1" t="s">
        <v>0</v>
      </c>
      <c r="C1" s="1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9" t="s">
        <v>7</v>
      </c>
      <c r="J1" s="9" t="s">
        <v>771</v>
      </c>
      <c r="K1" s="1" t="s">
        <v>8</v>
      </c>
      <c r="L1" s="1" t="s">
        <v>9</v>
      </c>
      <c r="M1" s="10" t="s">
        <v>10</v>
      </c>
      <c r="N1" s="12" t="s">
        <v>769</v>
      </c>
      <c r="O1" s="12" t="s">
        <v>556</v>
      </c>
      <c r="P1" s="12" t="s">
        <v>770</v>
      </c>
      <c r="Q1" s="1" t="s">
        <v>11</v>
      </c>
      <c r="R1" s="1" t="s">
        <v>12</v>
      </c>
      <c r="S1" s="7" t="s">
        <v>13</v>
      </c>
      <c r="T1" s="7" t="s">
        <v>14</v>
      </c>
    </row>
    <row r="2" spans="1:20" x14ac:dyDescent="0.35">
      <c r="A2" t="s">
        <v>558</v>
      </c>
      <c r="B2" s="6" t="s">
        <v>40</v>
      </c>
      <c r="C2" s="6">
        <v>37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42</v>
      </c>
      <c r="J2" s="8">
        <v>0</v>
      </c>
      <c r="K2" t="s">
        <v>19</v>
      </c>
      <c r="L2" s="6" t="s">
        <v>555</v>
      </c>
      <c r="M2" s="11">
        <v>40396</v>
      </c>
      <c r="O2" s="13" t="str">
        <f>TEXT(M2,"mmm")</f>
        <v>Aug</v>
      </c>
      <c r="P2" s="13" t="str">
        <f>TEXT(M2,"yyyy")</f>
        <v>2010</v>
      </c>
      <c r="Q2" s="6">
        <v>9.6</v>
      </c>
      <c r="R2" s="6">
        <v>6</v>
      </c>
      <c r="S2" s="6" t="s">
        <v>29</v>
      </c>
      <c r="T2" s="6">
        <v>81</v>
      </c>
    </row>
    <row r="3" spans="1:20" x14ac:dyDescent="0.35">
      <c r="A3" t="s">
        <v>559</v>
      </c>
      <c r="B3" s="6" t="s">
        <v>447</v>
      </c>
      <c r="C3" s="6">
        <v>27</v>
      </c>
      <c r="D3" s="6" t="s">
        <v>46</v>
      </c>
      <c r="E3" s="6" t="s">
        <v>16</v>
      </c>
      <c r="F3" s="6" t="s">
        <v>17</v>
      </c>
      <c r="G3" s="6" t="s">
        <v>20</v>
      </c>
      <c r="H3" s="6" t="s">
        <v>21</v>
      </c>
      <c r="I3" s="8">
        <v>525334.22</v>
      </c>
      <c r="J3" s="8">
        <v>525334.22</v>
      </c>
      <c r="K3" t="s">
        <v>22</v>
      </c>
      <c r="L3" s="6" t="s">
        <v>23</v>
      </c>
      <c r="M3" s="11">
        <v>42086</v>
      </c>
      <c r="N3" s="13" t="str">
        <f t="shared" ref="N3:N66" si="0">TEXT(M3,"ddd")</f>
        <v>Mon</v>
      </c>
      <c r="O3" s="13" t="str">
        <f t="shared" ref="O3:O66" si="1">TEXT(M3,"mmm")</f>
        <v>Mar</v>
      </c>
      <c r="P3" s="13" t="str">
        <f t="shared" ref="P3:P66" si="2">TEXT(M3,"yyyy")</f>
        <v>2015</v>
      </c>
      <c r="Q3" s="6">
        <v>6.5</v>
      </c>
      <c r="R3" s="6">
        <v>10</v>
      </c>
      <c r="S3" s="6" t="s">
        <v>29</v>
      </c>
      <c r="T3" s="6">
        <v>64</v>
      </c>
    </row>
    <row r="4" spans="1:20" x14ac:dyDescent="0.35">
      <c r="A4" t="s">
        <v>560</v>
      </c>
      <c r="B4" s="6" t="s">
        <v>24</v>
      </c>
      <c r="C4" s="6">
        <v>36</v>
      </c>
      <c r="D4" s="6" t="s">
        <v>555</v>
      </c>
      <c r="E4" s="6" t="s">
        <v>25</v>
      </c>
      <c r="F4" s="6" t="s">
        <v>26</v>
      </c>
      <c r="G4" s="6" t="s">
        <v>27</v>
      </c>
      <c r="H4" s="6" t="s">
        <v>555</v>
      </c>
      <c r="I4" s="8">
        <v>368838.65</v>
      </c>
      <c r="J4" s="8">
        <v>368838.65</v>
      </c>
      <c r="K4" t="s">
        <v>28</v>
      </c>
      <c r="L4" s="6" t="s">
        <v>555</v>
      </c>
      <c r="M4" s="11">
        <v>44268</v>
      </c>
      <c r="N4" s="13" t="str">
        <f t="shared" si="0"/>
        <v>Sat</v>
      </c>
      <c r="O4" s="13" t="str">
        <f t="shared" si="1"/>
        <v>Mar</v>
      </c>
      <c r="P4" s="13" t="str">
        <f t="shared" si="2"/>
        <v>2021</v>
      </c>
      <c r="Q4" s="6">
        <v>4.3</v>
      </c>
      <c r="R4" s="6">
        <v>31</v>
      </c>
      <c r="S4" s="6" t="s">
        <v>29</v>
      </c>
      <c r="T4" s="6">
        <v>15</v>
      </c>
    </row>
    <row r="5" spans="1:20" x14ac:dyDescent="0.35">
      <c r="A5" t="s">
        <v>561</v>
      </c>
      <c r="B5" s="6" t="s">
        <v>448</v>
      </c>
      <c r="C5" s="6">
        <v>46</v>
      </c>
      <c r="D5" s="6" t="s">
        <v>15</v>
      </c>
      <c r="E5" s="6" t="s">
        <v>25</v>
      </c>
      <c r="F5" s="6" t="s">
        <v>30</v>
      </c>
      <c r="G5" s="6" t="s">
        <v>31</v>
      </c>
      <c r="H5" s="6" t="s">
        <v>32</v>
      </c>
      <c r="I5" s="8">
        <v>261018.17</v>
      </c>
      <c r="J5" s="8">
        <v>261018.17</v>
      </c>
      <c r="K5" s="6" t="s">
        <v>555</v>
      </c>
      <c r="L5" s="6" t="s">
        <v>33</v>
      </c>
      <c r="M5" s="11">
        <v>45429</v>
      </c>
      <c r="N5" s="13" t="str">
        <f t="shared" si="0"/>
        <v>Fri</v>
      </c>
      <c r="O5" s="13" t="str">
        <f t="shared" si="1"/>
        <v>May</v>
      </c>
      <c r="P5" s="13" t="str">
        <f t="shared" si="2"/>
        <v>2024</v>
      </c>
      <c r="Q5" s="6">
        <v>8.6</v>
      </c>
      <c r="R5" s="6">
        <v>23</v>
      </c>
      <c r="S5" s="6" t="s">
        <v>555</v>
      </c>
      <c r="T5" s="6">
        <v>92</v>
      </c>
    </row>
    <row r="6" spans="1:20" x14ac:dyDescent="0.35">
      <c r="A6" t="s">
        <v>562</v>
      </c>
      <c r="B6" s="6" t="s">
        <v>449</v>
      </c>
      <c r="C6" s="6">
        <v>23</v>
      </c>
      <c r="D6" s="6" t="s">
        <v>555</v>
      </c>
      <c r="E6" s="6" t="s">
        <v>16</v>
      </c>
      <c r="F6" s="6" t="s">
        <v>34</v>
      </c>
      <c r="G6" s="6" t="s">
        <v>31</v>
      </c>
      <c r="H6" s="6" t="s">
        <v>42</v>
      </c>
      <c r="I6" s="8">
        <v>789431.39</v>
      </c>
      <c r="J6" s="8">
        <v>789431.39</v>
      </c>
      <c r="K6" t="s">
        <v>35</v>
      </c>
      <c r="L6" s="6" t="s">
        <v>36</v>
      </c>
      <c r="M6" s="11">
        <v>44160</v>
      </c>
      <c r="N6" s="13" t="str">
        <f t="shared" si="0"/>
        <v>Wed</v>
      </c>
      <c r="O6" s="13" t="str">
        <f t="shared" si="1"/>
        <v>Nov</v>
      </c>
      <c r="P6" s="13" t="str">
        <f t="shared" si="2"/>
        <v>2020</v>
      </c>
      <c r="Q6" s="6">
        <v>9.4</v>
      </c>
      <c r="R6" s="6">
        <v>19</v>
      </c>
      <c r="S6" s="6" t="s">
        <v>29</v>
      </c>
      <c r="T6" s="6">
        <v>44</v>
      </c>
    </row>
    <row r="7" spans="1:20" x14ac:dyDescent="0.35">
      <c r="A7" t="s">
        <v>563</v>
      </c>
      <c r="B7" s="6" t="s">
        <v>450</v>
      </c>
      <c r="C7" s="6">
        <v>26</v>
      </c>
      <c r="D7" s="6" t="s">
        <v>555</v>
      </c>
      <c r="E7" s="6" t="s">
        <v>37</v>
      </c>
      <c r="F7" s="6" t="s">
        <v>26</v>
      </c>
      <c r="G7" s="6" t="s">
        <v>31</v>
      </c>
      <c r="H7" s="6" t="s">
        <v>42</v>
      </c>
      <c r="I7" s="8">
        <v>245682.61</v>
      </c>
      <c r="J7" s="8">
        <v>245682.61</v>
      </c>
      <c r="K7" t="s">
        <v>38</v>
      </c>
      <c r="L7" s="6" t="s">
        <v>39</v>
      </c>
      <c r="M7" s="11">
        <v>44390</v>
      </c>
      <c r="N7" s="13" t="str">
        <f t="shared" si="0"/>
        <v>Tue</v>
      </c>
      <c r="O7" s="13" t="str">
        <f t="shared" si="1"/>
        <v>Jul</v>
      </c>
      <c r="P7" s="13" t="str">
        <f t="shared" si="2"/>
        <v>2021</v>
      </c>
      <c r="Q7" s="6">
        <v>1.8</v>
      </c>
      <c r="R7" s="6">
        <v>26</v>
      </c>
      <c r="S7" s="6" t="s">
        <v>29</v>
      </c>
      <c r="T7" s="6" t="s">
        <v>555</v>
      </c>
    </row>
    <row r="8" spans="1:20" x14ac:dyDescent="0.35">
      <c r="A8" t="s">
        <v>564</v>
      </c>
      <c r="B8" s="6" t="s">
        <v>40</v>
      </c>
      <c r="C8" s="6">
        <v>43</v>
      </c>
      <c r="D8" s="6" t="s">
        <v>46</v>
      </c>
      <c r="E8" s="6" t="s">
        <v>16</v>
      </c>
      <c r="F8" s="6" t="s">
        <v>41</v>
      </c>
      <c r="G8" s="6" t="s">
        <v>31</v>
      </c>
      <c r="H8" s="6" t="s">
        <v>42</v>
      </c>
      <c r="I8" s="8" t="s">
        <v>43</v>
      </c>
      <c r="J8" s="8">
        <v>217945</v>
      </c>
      <c r="K8" t="s">
        <v>44</v>
      </c>
      <c r="L8" s="6" t="s">
        <v>45</v>
      </c>
      <c r="M8" s="11">
        <v>44687</v>
      </c>
      <c r="N8" s="13" t="str">
        <f t="shared" si="0"/>
        <v>Fri</v>
      </c>
      <c r="O8" s="13" t="str">
        <f t="shared" si="1"/>
        <v>May</v>
      </c>
      <c r="P8" s="13" t="str">
        <f t="shared" si="2"/>
        <v>2022</v>
      </c>
      <c r="Q8" s="6" t="s">
        <v>555</v>
      </c>
      <c r="R8" s="6">
        <v>29</v>
      </c>
      <c r="S8" s="6" t="s">
        <v>29</v>
      </c>
      <c r="T8" s="6">
        <v>100</v>
      </c>
    </row>
    <row r="9" spans="1:20" x14ac:dyDescent="0.35">
      <c r="A9" t="s">
        <v>565</v>
      </c>
      <c r="B9" s="6" t="s">
        <v>451</v>
      </c>
      <c r="C9" s="6">
        <v>35</v>
      </c>
      <c r="D9" s="6" t="s">
        <v>46</v>
      </c>
      <c r="E9" s="6" t="s">
        <v>47</v>
      </c>
      <c r="F9" s="6" t="s">
        <v>48</v>
      </c>
      <c r="G9" s="6" t="s">
        <v>27</v>
      </c>
      <c r="H9" s="6" t="s">
        <v>42</v>
      </c>
      <c r="I9" s="8">
        <v>470380.54</v>
      </c>
      <c r="J9" s="8">
        <v>470380.54</v>
      </c>
      <c r="K9" t="s">
        <v>49</v>
      </c>
      <c r="L9" s="6" t="s">
        <v>50</v>
      </c>
      <c r="M9" s="11">
        <v>40644</v>
      </c>
      <c r="N9" s="13" t="str">
        <f t="shared" si="0"/>
        <v>Mon</v>
      </c>
      <c r="O9" s="13" t="str">
        <f t="shared" si="1"/>
        <v>Apr</v>
      </c>
      <c r="P9" s="13" t="str">
        <f t="shared" si="2"/>
        <v>2011</v>
      </c>
      <c r="Q9" s="6">
        <v>0</v>
      </c>
      <c r="R9" s="6">
        <v>33</v>
      </c>
      <c r="S9" s="6" t="s">
        <v>29</v>
      </c>
      <c r="T9" s="6">
        <v>72</v>
      </c>
    </row>
    <row r="10" spans="1:20" x14ac:dyDescent="0.35">
      <c r="A10" t="s">
        <v>566</v>
      </c>
      <c r="B10" s="6" t="s">
        <v>51</v>
      </c>
      <c r="C10" s="6">
        <v>41</v>
      </c>
      <c r="D10" s="6" t="s">
        <v>15</v>
      </c>
      <c r="E10" s="6" t="s">
        <v>52</v>
      </c>
      <c r="F10" s="6" t="s">
        <v>48</v>
      </c>
      <c r="G10" s="6" t="s">
        <v>27</v>
      </c>
      <c r="H10" s="6" t="s">
        <v>42</v>
      </c>
      <c r="I10" s="8">
        <v>753728.69</v>
      </c>
      <c r="J10" s="8">
        <v>753728.69</v>
      </c>
      <c r="K10" s="6" t="s">
        <v>555</v>
      </c>
      <c r="L10" s="6" t="s">
        <v>555</v>
      </c>
      <c r="M10" s="11">
        <v>42351</v>
      </c>
      <c r="N10" s="13" t="str">
        <f t="shared" si="0"/>
        <v>Sun</v>
      </c>
      <c r="O10" s="13" t="str">
        <f t="shared" si="1"/>
        <v>Dec</v>
      </c>
      <c r="P10" s="13" t="str">
        <f t="shared" si="2"/>
        <v>2015</v>
      </c>
      <c r="Q10" s="6">
        <v>1.1000000000000001</v>
      </c>
      <c r="R10" s="6">
        <v>6</v>
      </c>
      <c r="S10" s="6" t="s">
        <v>53</v>
      </c>
      <c r="T10" s="6">
        <v>89</v>
      </c>
    </row>
    <row r="11" spans="1:20" x14ac:dyDescent="0.35">
      <c r="A11" t="s">
        <v>567</v>
      </c>
      <c r="B11" s="6" t="s">
        <v>452</v>
      </c>
      <c r="C11" s="6">
        <v>60</v>
      </c>
      <c r="D11" s="6" t="s">
        <v>15</v>
      </c>
      <c r="E11" s="6" t="s">
        <v>54</v>
      </c>
      <c r="F11" s="6" t="s">
        <v>30</v>
      </c>
      <c r="G11" s="6" t="s">
        <v>31</v>
      </c>
      <c r="H11" s="6" t="s">
        <v>42</v>
      </c>
      <c r="I11" s="8">
        <v>574997.93000000005</v>
      </c>
      <c r="J11" s="8">
        <v>574997.93000000005</v>
      </c>
      <c r="K11" t="s">
        <v>55</v>
      </c>
      <c r="L11" s="6" t="s">
        <v>56</v>
      </c>
      <c r="M11" s="11">
        <v>45375</v>
      </c>
      <c r="N11" s="13" t="str">
        <f t="shared" si="0"/>
        <v>Sun</v>
      </c>
      <c r="O11" s="13" t="str">
        <f t="shared" si="1"/>
        <v>Mar</v>
      </c>
      <c r="P11" s="13" t="str">
        <f t="shared" si="2"/>
        <v>2024</v>
      </c>
      <c r="Q11" s="6">
        <v>1.1000000000000001</v>
      </c>
      <c r="R11" s="6">
        <v>9</v>
      </c>
      <c r="S11" s="6" t="s">
        <v>53</v>
      </c>
      <c r="T11" s="6">
        <v>55</v>
      </c>
    </row>
    <row r="12" spans="1:20" x14ac:dyDescent="0.35">
      <c r="A12" t="s">
        <v>568</v>
      </c>
      <c r="B12" s="6" t="s">
        <v>453</v>
      </c>
      <c r="C12" s="6">
        <v>24</v>
      </c>
      <c r="D12" s="6" t="s">
        <v>15</v>
      </c>
      <c r="E12" s="6" t="s">
        <v>63</v>
      </c>
      <c r="F12" s="6" t="s">
        <v>57</v>
      </c>
      <c r="G12" s="6" t="s">
        <v>60</v>
      </c>
      <c r="H12" s="6" t="s">
        <v>555</v>
      </c>
      <c r="I12" s="8">
        <v>259661.41</v>
      </c>
      <c r="J12" s="8">
        <v>259661.41</v>
      </c>
      <c r="K12" t="s">
        <v>58</v>
      </c>
      <c r="L12" s="6" t="s">
        <v>555</v>
      </c>
      <c r="M12" s="11">
        <v>41445</v>
      </c>
      <c r="N12" s="13" t="str">
        <f t="shared" si="0"/>
        <v>Thu</v>
      </c>
      <c r="O12" s="13" t="str">
        <f t="shared" si="1"/>
        <v>Jun</v>
      </c>
      <c r="P12" s="13" t="str">
        <f t="shared" si="2"/>
        <v>2013</v>
      </c>
      <c r="Q12" s="6">
        <v>8.1999999999999993</v>
      </c>
      <c r="R12" s="6">
        <v>17</v>
      </c>
      <c r="S12" s="6" t="s">
        <v>29</v>
      </c>
      <c r="T12" s="6">
        <v>87</v>
      </c>
    </row>
    <row r="13" spans="1:20" x14ac:dyDescent="0.35">
      <c r="A13" t="s">
        <v>569</v>
      </c>
      <c r="B13" s="6" t="s">
        <v>283</v>
      </c>
      <c r="C13" s="6">
        <v>44</v>
      </c>
      <c r="D13" s="6" t="s">
        <v>15</v>
      </c>
      <c r="E13" s="6" t="s">
        <v>16</v>
      </c>
      <c r="F13" s="6" t="s">
        <v>59</v>
      </c>
      <c r="G13" s="6" t="s">
        <v>60</v>
      </c>
      <c r="H13" s="6" t="s">
        <v>21</v>
      </c>
      <c r="I13" s="8">
        <v>243868.75</v>
      </c>
      <c r="J13" s="8">
        <v>243868.75</v>
      </c>
      <c r="K13" t="s">
        <v>61</v>
      </c>
      <c r="L13" s="6" t="s">
        <v>62</v>
      </c>
      <c r="M13" s="11">
        <v>45434</v>
      </c>
      <c r="N13" s="13" t="str">
        <f t="shared" si="0"/>
        <v>Wed</v>
      </c>
      <c r="O13" s="13" t="str">
        <f t="shared" si="1"/>
        <v>May</v>
      </c>
      <c r="P13" s="13" t="str">
        <f t="shared" si="2"/>
        <v>2024</v>
      </c>
      <c r="Q13" s="6">
        <v>6.4</v>
      </c>
      <c r="R13" s="6">
        <v>27</v>
      </c>
      <c r="S13" s="6" t="s">
        <v>555</v>
      </c>
      <c r="T13" s="6">
        <v>90</v>
      </c>
    </row>
    <row r="14" spans="1:20" x14ac:dyDescent="0.35">
      <c r="A14" t="s">
        <v>570</v>
      </c>
      <c r="B14" s="6" t="s">
        <v>454</v>
      </c>
      <c r="C14" s="6">
        <v>22</v>
      </c>
      <c r="D14" s="6" t="s">
        <v>15</v>
      </c>
      <c r="E14" s="6" t="s">
        <v>63</v>
      </c>
      <c r="F14" s="6" t="s">
        <v>48</v>
      </c>
      <c r="G14" s="6" t="s">
        <v>64</v>
      </c>
      <c r="H14" s="6" t="s">
        <v>42</v>
      </c>
      <c r="I14" s="8">
        <v>574537.15</v>
      </c>
      <c r="J14" s="8">
        <v>574537.15</v>
      </c>
      <c r="K14" t="s">
        <v>65</v>
      </c>
      <c r="L14" s="6" t="s">
        <v>66</v>
      </c>
      <c r="M14" s="11">
        <v>45283</v>
      </c>
      <c r="N14" s="13" t="str">
        <f t="shared" si="0"/>
        <v>Sat</v>
      </c>
      <c r="O14" s="13" t="str">
        <f t="shared" si="1"/>
        <v>Dec</v>
      </c>
      <c r="P14" s="13" t="str">
        <f t="shared" si="2"/>
        <v>2023</v>
      </c>
      <c r="Q14" s="6">
        <v>2.7</v>
      </c>
      <c r="R14" s="6">
        <v>11</v>
      </c>
      <c r="S14" s="6" t="s">
        <v>29</v>
      </c>
      <c r="T14" s="6">
        <v>83</v>
      </c>
    </row>
    <row r="15" spans="1:20" x14ac:dyDescent="0.35">
      <c r="A15" t="s">
        <v>571</v>
      </c>
      <c r="B15" s="6" t="s">
        <v>455</v>
      </c>
      <c r="C15" s="6">
        <v>60</v>
      </c>
      <c r="D15" s="6" t="s">
        <v>46</v>
      </c>
      <c r="E15" s="6" t="s">
        <v>54</v>
      </c>
      <c r="F15" s="6" t="s">
        <v>59</v>
      </c>
      <c r="G15" s="6" t="s">
        <v>60</v>
      </c>
      <c r="H15" s="6" t="s">
        <v>42</v>
      </c>
      <c r="I15" s="8">
        <v>398355.06</v>
      </c>
      <c r="J15" s="8">
        <v>398355.06</v>
      </c>
      <c r="K15" t="s">
        <v>67</v>
      </c>
      <c r="L15" s="6" t="s">
        <v>555</v>
      </c>
      <c r="M15" s="11">
        <v>40873</v>
      </c>
      <c r="N15" s="13" t="str">
        <f t="shared" si="0"/>
        <v>Sat</v>
      </c>
      <c r="O15" s="13" t="str">
        <f t="shared" si="1"/>
        <v>Nov</v>
      </c>
      <c r="P15" s="13" t="str">
        <f t="shared" si="2"/>
        <v>2011</v>
      </c>
      <c r="Q15" s="6">
        <v>3.2</v>
      </c>
      <c r="R15" s="6">
        <v>4</v>
      </c>
      <c r="S15" s="6" t="s">
        <v>29</v>
      </c>
      <c r="T15" s="6">
        <v>72</v>
      </c>
    </row>
    <row r="16" spans="1:20" x14ac:dyDescent="0.35">
      <c r="A16" t="s">
        <v>572</v>
      </c>
      <c r="B16" s="6" t="s">
        <v>456</v>
      </c>
      <c r="C16" s="6">
        <v>22</v>
      </c>
      <c r="D16" s="6" t="s">
        <v>555</v>
      </c>
      <c r="E16" s="6" t="s">
        <v>25</v>
      </c>
      <c r="F16" s="6" t="s">
        <v>48</v>
      </c>
      <c r="G16" s="6" t="s">
        <v>68</v>
      </c>
      <c r="H16" s="6" t="s">
        <v>21</v>
      </c>
      <c r="I16" s="8">
        <v>717534.95</v>
      </c>
      <c r="J16" s="8">
        <v>717534.95</v>
      </c>
      <c r="K16" t="s">
        <v>69</v>
      </c>
      <c r="L16" s="6" t="s">
        <v>70</v>
      </c>
      <c r="M16" s="11">
        <v>44745</v>
      </c>
      <c r="N16" s="13" t="str">
        <f t="shared" si="0"/>
        <v>Sun</v>
      </c>
      <c r="O16" s="13" t="str">
        <f t="shared" si="1"/>
        <v>Jul</v>
      </c>
      <c r="P16" s="13" t="str">
        <f t="shared" si="2"/>
        <v>2022</v>
      </c>
      <c r="Q16" s="6">
        <v>8.3000000000000007</v>
      </c>
      <c r="R16" s="6">
        <v>35</v>
      </c>
      <c r="S16" s="6" t="s">
        <v>53</v>
      </c>
      <c r="T16" s="6">
        <v>48</v>
      </c>
    </row>
    <row r="17" spans="1:20" x14ac:dyDescent="0.35">
      <c r="A17" t="s">
        <v>573</v>
      </c>
      <c r="B17" s="6" t="s">
        <v>457</v>
      </c>
      <c r="C17" s="6">
        <v>55</v>
      </c>
      <c r="D17" s="6" t="s">
        <v>15</v>
      </c>
      <c r="E17" s="6" t="s">
        <v>71</v>
      </c>
      <c r="F17" s="6" t="s">
        <v>34</v>
      </c>
      <c r="G17" s="6" t="s">
        <v>72</v>
      </c>
      <c r="H17" s="6" t="s">
        <v>555</v>
      </c>
      <c r="I17" s="8">
        <v>396708.27</v>
      </c>
      <c r="J17" s="8">
        <v>396708.27</v>
      </c>
      <c r="K17" t="s">
        <v>73</v>
      </c>
      <c r="L17" s="6" t="s">
        <v>74</v>
      </c>
      <c r="M17" s="11">
        <v>41414</v>
      </c>
      <c r="N17" s="13" t="str">
        <f t="shared" si="0"/>
        <v>Mon</v>
      </c>
      <c r="O17" s="13" t="str">
        <f t="shared" si="1"/>
        <v>May</v>
      </c>
      <c r="P17" s="13" t="str">
        <f t="shared" si="2"/>
        <v>2013</v>
      </c>
      <c r="Q17" s="6">
        <v>4.5</v>
      </c>
      <c r="R17" s="6">
        <v>1</v>
      </c>
      <c r="S17" s="6" t="s">
        <v>53</v>
      </c>
      <c r="T17" s="6">
        <v>48</v>
      </c>
    </row>
    <row r="18" spans="1:20" x14ac:dyDescent="0.35">
      <c r="A18" t="s">
        <v>574</v>
      </c>
      <c r="B18" s="6" t="s">
        <v>458</v>
      </c>
      <c r="C18" s="6">
        <v>56</v>
      </c>
      <c r="D18" s="6" t="s">
        <v>555</v>
      </c>
      <c r="E18" s="6" t="s">
        <v>75</v>
      </c>
      <c r="F18" s="6" t="s">
        <v>26</v>
      </c>
      <c r="G18" s="6" t="s">
        <v>60</v>
      </c>
      <c r="H18" s="6" t="s">
        <v>21</v>
      </c>
      <c r="I18" s="8">
        <v>514341.86</v>
      </c>
      <c r="J18" s="8">
        <v>514341.86</v>
      </c>
      <c r="K18" t="s">
        <v>76</v>
      </c>
      <c r="L18" s="6" t="s">
        <v>555</v>
      </c>
      <c r="M18" s="11">
        <v>43491</v>
      </c>
      <c r="N18" s="13" t="str">
        <f t="shared" si="0"/>
        <v>Sat</v>
      </c>
      <c r="O18" s="13" t="str">
        <f t="shared" si="1"/>
        <v>Jan</v>
      </c>
      <c r="P18" s="13" t="str">
        <f t="shared" si="2"/>
        <v>2019</v>
      </c>
      <c r="Q18" s="6">
        <v>6.8</v>
      </c>
      <c r="R18" s="6">
        <v>3</v>
      </c>
      <c r="S18" s="6" t="s">
        <v>29</v>
      </c>
      <c r="T18" s="6">
        <v>33</v>
      </c>
    </row>
    <row r="19" spans="1:20" x14ac:dyDescent="0.35">
      <c r="A19" t="s">
        <v>575</v>
      </c>
      <c r="B19" s="6" t="s">
        <v>459</v>
      </c>
      <c r="C19" s="6">
        <v>38</v>
      </c>
      <c r="D19" s="6" t="s">
        <v>46</v>
      </c>
      <c r="E19" s="6" t="s">
        <v>16</v>
      </c>
      <c r="F19" s="6" t="s">
        <v>57</v>
      </c>
      <c r="G19" s="6" t="s">
        <v>72</v>
      </c>
      <c r="H19" s="6" t="s">
        <v>42</v>
      </c>
      <c r="I19" s="8">
        <v>619297.47</v>
      </c>
      <c r="J19" s="8">
        <v>619297.47</v>
      </c>
      <c r="K19" t="s">
        <v>77</v>
      </c>
      <c r="L19" s="6" t="s">
        <v>78</v>
      </c>
      <c r="M19" s="11">
        <v>40433</v>
      </c>
      <c r="N19" s="13" t="str">
        <f t="shared" si="0"/>
        <v>Sun</v>
      </c>
      <c r="O19" s="13" t="str">
        <f t="shared" si="1"/>
        <v>Sept</v>
      </c>
      <c r="P19" s="13" t="str">
        <f t="shared" si="2"/>
        <v>2010</v>
      </c>
      <c r="Q19" s="6">
        <v>7.3</v>
      </c>
      <c r="R19" s="6">
        <v>7</v>
      </c>
      <c r="S19" s="6" t="s">
        <v>53</v>
      </c>
      <c r="T19" s="6">
        <v>11</v>
      </c>
    </row>
    <row r="20" spans="1:20" x14ac:dyDescent="0.35">
      <c r="A20" t="s">
        <v>576</v>
      </c>
      <c r="B20" s="6" t="s">
        <v>460</v>
      </c>
      <c r="C20" s="6">
        <v>47</v>
      </c>
      <c r="D20" s="6" t="s">
        <v>46</v>
      </c>
      <c r="E20" s="6" t="s">
        <v>79</v>
      </c>
      <c r="F20" s="6" t="s">
        <v>41</v>
      </c>
      <c r="G20" s="6" t="s">
        <v>31</v>
      </c>
      <c r="H20" s="6" t="s">
        <v>42</v>
      </c>
      <c r="I20" s="8">
        <v>506310.46</v>
      </c>
      <c r="J20" s="8">
        <v>506310.46</v>
      </c>
      <c r="K20" t="s">
        <v>80</v>
      </c>
      <c r="L20" s="6" t="s">
        <v>81</v>
      </c>
      <c r="M20" s="11">
        <v>41170</v>
      </c>
      <c r="N20" s="13" t="str">
        <f t="shared" si="0"/>
        <v>Tue</v>
      </c>
      <c r="O20" s="13" t="str">
        <f t="shared" si="1"/>
        <v>Sept</v>
      </c>
      <c r="P20" s="13" t="str">
        <f t="shared" si="2"/>
        <v>2012</v>
      </c>
      <c r="Q20" s="6">
        <v>1.9</v>
      </c>
      <c r="R20" s="6">
        <v>29</v>
      </c>
      <c r="S20" s="6" t="s">
        <v>53</v>
      </c>
      <c r="T20" s="6">
        <v>52</v>
      </c>
    </row>
    <row r="21" spans="1:20" x14ac:dyDescent="0.35">
      <c r="A21" t="s">
        <v>577</v>
      </c>
      <c r="B21" s="6" t="s">
        <v>461</v>
      </c>
      <c r="C21" s="6">
        <v>52</v>
      </c>
      <c r="D21" s="6" t="s">
        <v>46</v>
      </c>
      <c r="E21" s="6" t="s">
        <v>16</v>
      </c>
      <c r="F21" s="6" t="s">
        <v>17</v>
      </c>
      <c r="G21" s="6" t="s">
        <v>20</v>
      </c>
      <c r="H21" s="6" t="s">
        <v>82</v>
      </c>
      <c r="I21" s="8">
        <v>506581.73</v>
      </c>
      <c r="J21" s="8">
        <v>506581.73</v>
      </c>
      <c r="K21" t="s">
        <v>83</v>
      </c>
      <c r="L21" s="6" t="s">
        <v>84</v>
      </c>
      <c r="M21" s="11">
        <v>43985</v>
      </c>
      <c r="N21" s="13" t="str">
        <f t="shared" si="0"/>
        <v>Wed</v>
      </c>
      <c r="O21" s="13" t="str">
        <f t="shared" si="1"/>
        <v>Jun</v>
      </c>
      <c r="P21" s="13" t="str">
        <f t="shared" si="2"/>
        <v>2020</v>
      </c>
      <c r="Q21" s="6">
        <v>3.5</v>
      </c>
      <c r="R21" s="6" t="s">
        <v>555</v>
      </c>
      <c r="S21" s="6" t="s">
        <v>53</v>
      </c>
      <c r="T21" s="6">
        <v>72</v>
      </c>
    </row>
    <row r="22" spans="1:20" x14ac:dyDescent="0.35">
      <c r="A22" t="s">
        <v>578</v>
      </c>
      <c r="B22" s="6" t="s">
        <v>85</v>
      </c>
      <c r="C22" s="6">
        <v>52</v>
      </c>
      <c r="D22" s="6" t="s">
        <v>46</v>
      </c>
      <c r="E22" s="6" t="s">
        <v>71</v>
      </c>
      <c r="F22" s="6" t="s">
        <v>59</v>
      </c>
      <c r="G22" s="6" t="s">
        <v>20</v>
      </c>
      <c r="H22" s="6" t="s">
        <v>42</v>
      </c>
      <c r="I22" s="8">
        <v>650911.67000000004</v>
      </c>
      <c r="J22" s="8">
        <v>650911.67000000004</v>
      </c>
      <c r="K22" t="s">
        <v>86</v>
      </c>
      <c r="L22" s="6" t="s">
        <v>87</v>
      </c>
      <c r="M22" s="11">
        <v>44055</v>
      </c>
      <c r="N22" s="13" t="str">
        <f t="shared" si="0"/>
        <v>Wed</v>
      </c>
      <c r="O22" s="13" t="str">
        <f t="shared" si="1"/>
        <v>Aug</v>
      </c>
      <c r="P22" s="13" t="str">
        <f t="shared" si="2"/>
        <v>2020</v>
      </c>
      <c r="Q22" s="6">
        <v>2.1</v>
      </c>
      <c r="R22" s="6">
        <v>34</v>
      </c>
      <c r="S22" s="6" t="s">
        <v>29</v>
      </c>
      <c r="T22" s="6">
        <v>22</v>
      </c>
    </row>
    <row r="23" spans="1:20" x14ac:dyDescent="0.35">
      <c r="A23" t="s">
        <v>579</v>
      </c>
      <c r="B23" s="6" t="s">
        <v>462</v>
      </c>
      <c r="C23" s="6">
        <v>60</v>
      </c>
      <c r="D23" s="6" t="s">
        <v>46</v>
      </c>
      <c r="E23" s="6" t="s">
        <v>75</v>
      </c>
      <c r="F23" s="6" t="s">
        <v>34</v>
      </c>
      <c r="G23" s="6" t="s">
        <v>68</v>
      </c>
      <c r="H23" s="6" t="s">
        <v>82</v>
      </c>
      <c r="J23" s="8">
        <v>0</v>
      </c>
      <c r="K23" t="s">
        <v>88</v>
      </c>
      <c r="L23" s="6" t="s">
        <v>89</v>
      </c>
      <c r="M23" s="11">
        <v>40625</v>
      </c>
      <c r="N23" s="13" t="str">
        <f t="shared" si="0"/>
        <v>Wed</v>
      </c>
      <c r="O23" s="13" t="str">
        <f t="shared" si="1"/>
        <v>Mar</v>
      </c>
      <c r="P23" s="13" t="str">
        <f t="shared" si="2"/>
        <v>2011</v>
      </c>
      <c r="Q23" s="6">
        <v>2.7</v>
      </c>
      <c r="R23" s="6">
        <v>30</v>
      </c>
      <c r="S23" s="6" t="s">
        <v>29</v>
      </c>
      <c r="T23" s="6">
        <v>7</v>
      </c>
    </row>
    <row r="24" spans="1:20" x14ac:dyDescent="0.35">
      <c r="A24" t="s">
        <v>580</v>
      </c>
      <c r="B24" s="6" t="s">
        <v>463</v>
      </c>
      <c r="C24" s="6">
        <v>41</v>
      </c>
      <c r="D24" s="6" t="s">
        <v>555</v>
      </c>
      <c r="E24" s="6" t="s">
        <v>79</v>
      </c>
      <c r="F24" s="6" t="s">
        <v>17</v>
      </c>
      <c r="G24" s="6" t="s">
        <v>72</v>
      </c>
      <c r="H24" s="6" t="s">
        <v>32</v>
      </c>
      <c r="I24" s="8">
        <v>481812.58</v>
      </c>
      <c r="J24" s="8">
        <v>481812.58</v>
      </c>
      <c r="K24" t="s">
        <v>90</v>
      </c>
      <c r="L24" s="6" t="s">
        <v>91</v>
      </c>
      <c r="M24" s="11">
        <v>43805</v>
      </c>
      <c r="N24" s="13" t="str">
        <f t="shared" si="0"/>
        <v>Fri</v>
      </c>
      <c r="O24" s="13" t="str">
        <f t="shared" si="1"/>
        <v>Dec</v>
      </c>
      <c r="P24" s="13" t="str">
        <f t="shared" si="2"/>
        <v>2019</v>
      </c>
      <c r="Q24" s="6">
        <v>6.9</v>
      </c>
      <c r="R24" s="6">
        <v>4</v>
      </c>
      <c r="S24" s="6" t="s">
        <v>53</v>
      </c>
      <c r="T24" s="6">
        <v>59</v>
      </c>
    </row>
    <row r="25" spans="1:20" x14ac:dyDescent="0.35">
      <c r="A25" t="s">
        <v>581</v>
      </c>
      <c r="B25" s="6" t="s">
        <v>92</v>
      </c>
      <c r="C25" s="6">
        <v>40</v>
      </c>
      <c r="D25" s="6" t="s">
        <v>46</v>
      </c>
      <c r="E25" s="6" t="s">
        <v>75</v>
      </c>
      <c r="F25" s="6" t="s">
        <v>34</v>
      </c>
      <c r="G25" s="6" t="s">
        <v>27</v>
      </c>
      <c r="H25" s="6" t="s">
        <v>32</v>
      </c>
      <c r="I25" s="8">
        <v>574917.14</v>
      </c>
      <c r="J25" s="8">
        <v>574917.14</v>
      </c>
      <c r="K25" t="s">
        <v>93</v>
      </c>
      <c r="L25" s="6" t="s">
        <v>94</v>
      </c>
      <c r="M25" s="11">
        <v>41119</v>
      </c>
      <c r="N25" s="13" t="str">
        <f t="shared" si="0"/>
        <v>Sun</v>
      </c>
      <c r="O25" s="13" t="str">
        <f t="shared" si="1"/>
        <v>Jul</v>
      </c>
      <c r="P25" s="13" t="str">
        <f t="shared" si="2"/>
        <v>2012</v>
      </c>
      <c r="Q25" s="6">
        <v>5</v>
      </c>
      <c r="R25" s="6">
        <v>25</v>
      </c>
      <c r="S25" s="6" t="s">
        <v>555</v>
      </c>
      <c r="T25" s="6">
        <v>44</v>
      </c>
    </row>
    <row r="26" spans="1:20" x14ac:dyDescent="0.35">
      <c r="A26" t="s">
        <v>582</v>
      </c>
      <c r="B26" s="6" t="s">
        <v>95</v>
      </c>
      <c r="C26" s="6" t="s">
        <v>555</v>
      </c>
      <c r="D26" s="6" t="s">
        <v>15</v>
      </c>
      <c r="E26" s="6" t="s">
        <v>16</v>
      </c>
      <c r="F26" s="6" t="s">
        <v>34</v>
      </c>
      <c r="G26" s="6" t="s">
        <v>68</v>
      </c>
      <c r="H26" s="6" t="s">
        <v>21</v>
      </c>
      <c r="I26" s="8">
        <v>244825.58</v>
      </c>
      <c r="J26" s="8">
        <v>244825.58</v>
      </c>
      <c r="K26" t="s">
        <v>96</v>
      </c>
      <c r="L26" s="6" t="s">
        <v>555</v>
      </c>
      <c r="M26" s="11">
        <v>40508</v>
      </c>
      <c r="N26" s="13" t="str">
        <f t="shared" si="0"/>
        <v>Fri</v>
      </c>
      <c r="O26" s="13" t="str">
        <f t="shared" si="1"/>
        <v>Nov</v>
      </c>
      <c r="P26" s="13" t="str">
        <f t="shared" si="2"/>
        <v>2010</v>
      </c>
      <c r="Q26" s="6">
        <v>5.2</v>
      </c>
      <c r="R26" s="6">
        <v>6</v>
      </c>
      <c r="S26" s="6" t="s">
        <v>29</v>
      </c>
      <c r="T26" s="6">
        <v>50</v>
      </c>
    </row>
    <row r="27" spans="1:20" x14ac:dyDescent="0.35">
      <c r="A27" t="s">
        <v>583</v>
      </c>
      <c r="B27" s="6" t="s">
        <v>464</v>
      </c>
      <c r="C27" s="6">
        <v>24</v>
      </c>
      <c r="D27" s="6" t="s">
        <v>46</v>
      </c>
      <c r="E27" s="6" t="s">
        <v>52</v>
      </c>
      <c r="F27" s="6" t="s">
        <v>41</v>
      </c>
      <c r="G27" s="6" t="s">
        <v>64</v>
      </c>
      <c r="H27" s="6" t="s">
        <v>42</v>
      </c>
      <c r="I27" s="8">
        <v>312757.13</v>
      </c>
      <c r="J27" s="8">
        <v>312757.13</v>
      </c>
      <c r="K27" t="s">
        <v>97</v>
      </c>
      <c r="L27" s="6" t="s">
        <v>98</v>
      </c>
      <c r="M27" s="11">
        <v>44623</v>
      </c>
      <c r="N27" s="13" t="str">
        <f t="shared" si="0"/>
        <v>Thu</v>
      </c>
      <c r="O27" s="13" t="str">
        <f t="shared" si="1"/>
        <v>Mar</v>
      </c>
      <c r="P27" s="13" t="str">
        <f t="shared" si="2"/>
        <v>2022</v>
      </c>
      <c r="Q27" s="6">
        <v>9.3000000000000007</v>
      </c>
      <c r="R27" s="6" t="s">
        <v>555</v>
      </c>
      <c r="S27" s="6" t="s">
        <v>29</v>
      </c>
      <c r="T27" s="6">
        <v>24</v>
      </c>
    </row>
    <row r="28" spans="1:20" x14ac:dyDescent="0.35">
      <c r="A28" t="s">
        <v>584</v>
      </c>
      <c r="B28" s="6" t="s">
        <v>465</v>
      </c>
      <c r="C28" s="6">
        <v>48</v>
      </c>
      <c r="D28" s="6" t="s">
        <v>555</v>
      </c>
      <c r="E28" s="6" t="s">
        <v>16</v>
      </c>
      <c r="F28" s="6" t="s">
        <v>26</v>
      </c>
      <c r="G28" s="6" t="s">
        <v>64</v>
      </c>
      <c r="H28" s="6" t="s">
        <v>42</v>
      </c>
      <c r="I28" s="8" t="s">
        <v>99</v>
      </c>
      <c r="J28" s="8">
        <v>737310</v>
      </c>
      <c r="K28" t="s">
        <v>100</v>
      </c>
      <c r="L28" s="6" t="s">
        <v>555</v>
      </c>
      <c r="M28" s="11">
        <v>42418</v>
      </c>
      <c r="N28" s="13" t="str">
        <f t="shared" si="0"/>
        <v>Thu</v>
      </c>
      <c r="O28" s="13" t="str">
        <f t="shared" si="1"/>
        <v>Feb</v>
      </c>
      <c r="P28" s="13" t="str">
        <f t="shared" si="2"/>
        <v>2016</v>
      </c>
      <c r="Q28" s="6">
        <v>8.8000000000000007</v>
      </c>
      <c r="R28" s="6">
        <v>26</v>
      </c>
      <c r="S28" s="6" t="s">
        <v>53</v>
      </c>
      <c r="T28" s="6">
        <v>82</v>
      </c>
    </row>
    <row r="29" spans="1:20" x14ac:dyDescent="0.35">
      <c r="A29" t="s">
        <v>585</v>
      </c>
      <c r="B29" s="6" t="s">
        <v>455</v>
      </c>
      <c r="C29" s="6">
        <v>53</v>
      </c>
      <c r="D29" s="6" t="s">
        <v>46</v>
      </c>
      <c r="E29" s="6" t="s">
        <v>52</v>
      </c>
      <c r="F29" s="6" t="s">
        <v>57</v>
      </c>
      <c r="G29" s="6" t="s">
        <v>31</v>
      </c>
      <c r="H29" s="6" t="s">
        <v>42</v>
      </c>
      <c r="I29" s="8">
        <v>428725.8</v>
      </c>
      <c r="J29" s="8">
        <v>428725.8</v>
      </c>
      <c r="K29" t="s">
        <v>67</v>
      </c>
      <c r="L29" s="6" t="s">
        <v>555</v>
      </c>
      <c r="M29" s="11">
        <v>42135</v>
      </c>
      <c r="N29" s="13" t="str">
        <f t="shared" si="0"/>
        <v>Mon</v>
      </c>
      <c r="O29" s="13" t="str">
        <f t="shared" si="1"/>
        <v>May</v>
      </c>
      <c r="P29" s="13" t="str">
        <f t="shared" si="2"/>
        <v>2015</v>
      </c>
      <c r="Q29" s="6">
        <v>100</v>
      </c>
      <c r="R29" s="6">
        <v>28</v>
      </c>
      <c r="S29" s="6" t="s">
        <v>53</v>
      </c>
      <c r="T29" s="6" t="s">
        <v>555</v>
      </c>
    </row>
    <row r="30" spans="1:20" x14ac:dyDescent="0.35">
      <c r="A30" t="s">
        <v>586</v>
      </c>
      <c r="B30" s="6" t="s">
        <v>466</v>
      </c>
      <c r="C30" s="6">
        <v>26</v>
      </c>
      <c r="D30" s="6" t="s">
        <v>46</v>
      </c>
      <c r="E30" s="6" t="s">
        <v>47</v>
      </c>
      <c r="F30" s="6" t="s">
        <v>26</v>
      </c>
      <c r="G30" s="6" t="s">
        <v>72</v>
      </c>
      <c r="H30" s="6" t="s">
        <v>21</v>
      </c>
      <c r="I30" s="8">
        <v>323764.09000000003</v>
      </c>
      <c r="J30" s="8">
        <v>323764.09000000003</v>
      </c>
      <c r="K30" t="s">
        <v>101</v>
      </c>
      <c r="L30" s="6" t="s">
        <v>102</v>
      </c>
      <c r="M30" s="11">
        <v>42773</v>
      </c>
      <c r="N30" s="13" t="str">
        <f t="shared" si="0"/>
        <v>Tue</v>
      </c>
      <c r="O30" s="13" t="str">
        <f t="shared" si="1"/>
        <v>Feb</v>
      </c>
      <c r="P30" s="13" t="str">
        <f t="shared" si="2"/>
        <v>2017</v>
      </c>
      <c r="Q30" s="6">
        <v>4.9000000000000004</v>
      </c>
      <c r="R30" s="6">
        <v>6</v>
      </c>
      <c r="S30" s="6" t="s">
        <v>29</v>
      </c>
      <c r="T30" s="6">
        <v>3</v>
      </c>
    </row>
    <row r="31" spans="1:20" x14ac:dyDescent="0.35">
      <c r="A31" t="s">
        <v>587</v>
      </c>
      <c r="B31" s="6" t="s">
        <v>467</v>
      </c>
      <c r="C31" s="6">
        <v>49</v>
      </c>
      <c r="D31" s="6" t="s">
        <v>46</v>
      </c>
      <c r="E31" s="6" t="s">
        <v>54</v>
      </c>
      <c r="F31" s="6" t="s">
        <v>34</v>
      </c>
      <c r="G31" s="6" t="s">
        <v>68</v>
      </c>
      <c r="H31" s="6" t="s">
        <v>32</v>
      </c>
      <c r="I31" s="8">
        <v>487468.2</v>
      </c>
      <c r="J31" s="8">
        <v>487468.2</v>
      </c>
      <c r="K31" t="s">
        <v>103</v>
      </c>
      <c r="L31" s="6" t="s">
        <v>555</v>
      </c>
      <c r="M31" s="11">
        <v>42151</v>
      </c>
      <c r="N31" s="13" t="str">
        <f t="shared" si="0"/>
        <v>Wed</v>
      </c>
      <c r="O31" s="13" t="str">
        <f t="shared" si="1"/>
        <v>May</v>
      </c>
      <c r="P31" s="13" t="str">
        <f t="shared" si="2"/>
        <v>2015</v>
      </c>
      <c r="Q31" s="6">
        <v>7.1</v>
      </c>
      <c r="R31" s="6">
        <v>22</v>
      </c>
      <c r="S31" s="6" t="s">
        <v>29</v>
      </c>
      <c r="T31" s="6">
        <v>42</v>
      </c>
    </row>
    <row r="32" spans="1:20" x14ac:dyDescent="0.35">
      <c r="A32" t="s">
        <v>588</v>
      </c>
      <c r="B32" s="6" t="s">
        <v>468</v>
      </c>
      <c r="C32" s="6">
        <v>46</v>
      </c>
      <c r="D32" s="6" t="s">
        <v>15</v>
      </c>
      <c r="E32" s="6" t="s">
        <v>47</v>
      </c>
      <c r="F32" s="6" t="s">
        <v>41</v>
      </c>
      <c r="G32" s="6" t="s">
        <v>72</v>
      </c>
      <c r="H32" s="6" t="s">
        <v>21</v>
      </c>
      <c r="I32" s="8">
        <v>354582.29</v>
      </c>
      <c r="J32" s="8">
        <v>354582.29</v>
      </c>
      <c r="K32" t="s">
        <v>104</v>
      </c>
      <c r="L32" s="6" t="s">
        <v>105</v>
      </c>
      <c r="M32" s="11">
        <v>42427</v>
      </c>
      <c r="N32" s="13" t="str">
        <f t="shared" si="0"/>
        <v>Sat</v>
      </c>
      <c r="O32" s="13" t="str">
        <f t="shared" si="1"/>
        <v>Feb</v>
      </c>
      <c r="P32" s="13" t="str">
        <f t="shared" si="2"/>
        <v>2016</v>
      </c>
      <c r="Q32" s="6">
        <v>3.3</v>
      </c>
      <c r="R32" s="6">
        <v>8</v>
      </c>
      <c r="S32" s="6" t="s">
        <v>29</v>
      </c>
      <c r="T32" s="6">
        <v>31</v>
      </c>
    </row>
    <row r="33" spans="1:20" x14ac:dyDescent="0.35">
      <c r="A33" t="s">
        <v>589</v>
      </c>
      <c r="B33" s="6" t="s">
        <v>106</v>
      </c>
      <c r="C33" s="6">
        <v>30</v>
      </c>
      <c r="D33" s="6" t="s">
        <v>46</v>
      </c>
      <c r="E33" s="6" t="s">
        <v>79</v>
      </c>
      <c r="F33" s="6" t="s">
        <v>26</v>
      </c>
      <c r="G33" s="6" t="s">
        <v>72</v>
      </c>
      <c r="H33" s="6" t="s">
        <v>555</v>
      </c>
      <c r="I33" s="8">
        <v>618186.22</v>
      </c>
      <c r="J33" s="8">
        <v>618186.22</v>
      </c>
      <c r="K33" t="s">
        <v>107</v>
      </c>
      <c r="L33" s="6" t="s">
        <v>108</v>
      </c>
      <c r="M33" s="11">
        <v>41526</v>
      </c>
      <c r="N33" s="13" t="str">
        <f t="shared" si="0"/>
        <v>Mon</v>
      </c>
      <c r="O33" s="13" t="str">
        <f t="shared" si="1"/>
        <v>Sept</v>
      </c>
      <c r="P33" s="13" t="str">
        <f t="shared" si="2"/>
        <v>2013</v>
      </c>
      <c r="Q33" s="6">
        <v>9.6999999999999993</v>
      </c>
      <c r="R33" s="6" t="s">
        <v>555</v>
      </c>
      <c r="S33" s="6" t="s">
        <v>555</v>
      </c>
      <c r="T33" s="6">
        <v>37</v>
      </c>
    </row>
    <row r="34" spans="1:20" x14ac:dyDescent="0.35">
      <c r="A34" t="s">
        <v>590</v>
      </c>
      <c r="B34" s="6" t="s">
        <v>109</v>
      </c>
      <c r="C34" s="6">
        <v>45</v>
      </c>
      <c r="D34" s="6" t="s">
        <v>15</v>
      </c>
      <c r="E34" s="6" t="s">
        <v>75</v>
      </c>
      <c r="F34" s="6" t="s">
        <v>30</v>
      </c>
      <c r="G34" s="6" t="s">
        <v>31</v>
      </c>
      <c r="H34" s="6" t="s">
        <v>42</v>
      </c>
      <c r="I34" s="8">
        <v>98017.75</v>
      </c>
      <c r="J34" s="8">
        <v>98017.75</v>
      </c>
      <c r="K34" t="s">
        <v>110</v>
      </c>
      <c r="L34" s="6" t="s">
        <v>555</v>
      </c>
      <c r="M34" s="11">
        <v>43982</v>
      </c>
      <c r="N34" s="13" t="str">
        <f t="shared" si="0"/>
        <v>Sun</v>
      </c>
      <c r="O34" s="13" t="str">
        <f t="shared" si="1"/>
        <v>May</v>
      </c>
      <c r="P34" s="13" t="str">
        <f t="shared" si="2"/>
        <v>2020</v>
      </c>
      <c r="Q34" s="6">
        <v>9</v>
      </c>
      <c r="R34" s="6">
        <v>34</v>
      </c>
      <c r="S34" s="6" t="s">
        <v>29</v>
      </c>
      <c r="T34" s="6">
        <v>89</v>
      </c>
    </row>
    <row r="35" spans="1:20" x14ac:dyDescent="0.35">
      <c r="A35" t="s">
        <v>591</v>
      </c>
      <c r="B35" s="6" t="s">
        <v>40</v>
      </c>
      <c r="C35" s="6">
        <v>48</v>
      </c>
      <c r="D35" s="6" t="s">
        <v>46</v>
      </c>
      <c r="E35" s="6" t="s">
        <v>79</v>
      </c>
      <c r="F35" s="6" t="s">
        <v>17</v>
      </c>
      <c r="G35" s="6" t="s">
        <v>27</v>
      </c>
      <c r="H35" s="6" t="s">
        <v>42</v>
      </c>
      <c r="I35" s="8">
        <v>577002.07999999996</v>
      </c>
      <c r="J35" s="8">
        <v>577002.07999999996</v>
      </c>
      <c r="K35" t="s">
        <v>44</v>
      </c>
      <c r="L35" s="6" t="s">
        <v>555</v>
      </c>
      <c r="M35" s="11">
        <v>45461</v>
      </c>
      <c r="N35" s="13" t="str">
        <f t="shared" si="0"/>
        <v>Tue</v>
      </c>
      <c r="O35" s="13" t="str">
        <f t="shared" si="1"/>
        <v>Jun</v>
      </c>
      <c r="P35" s="13" t="str">
        <f t="shared" si="2"/>
        <v>2024</v>
      </c>
      <c r="Q35" s="6">
        <v>1.5</v>
      </c>
      <c r="R35" s="6">
        <v>13</v>
      </c>
      <c r="S35" s="6" t="s">
        <v>53</v>
      </c>
      <c r="T35" s="6">
        <v>59</v>
      </c>
    </row>
    <row r="36" spans="1:20" x14ac:dyDescent="0.35">
      <c r="A36" t="s">
        <v>592</v>
      </c>
      <c r="B36" s="6" t="s">
        <v>469</v>
      </c>
      <c r="C36" s="6" t="s">
        <v>555</v>
      </c>
      <c r="D36" s="6" t="s">
        <v>46</v>
      </c>
      <c r="E36" s="6" t="s">
        <v>79</v>
      </c>
      <c r="F36" s="6" t="s">
        <v>41</v>
      </c>
      <c r="G36" s="6" t="s">
        <v>64</v>
      </c>
      <c r="H36" s="6" t="s">
        <v>21</v>
      </c>
      <c r="I36" s="8">
        <v>468955.13</v>
      </c>
      <c r="J36" s="8">
        <v>468955.13</v>
      </c>
      <c r="K36" t="s">
        <v>111</v>
      </c>
      <c r="L36" s="6" t="s">
        <v>555</v>
      </c>
      <c r="M36" s="11">
        <v>42831</v>
      </c>
      <c r="N36" s="13" t="str">
        <f t="shared" si="0"/>
        <v>Thu</v>
      </c>
      <c r="O36" s="13" t="str">
        <f t="shared" si="1"/>
        <v>Apr</v>
      </c>
      <c r="P36" s="13" t="str">
        <f t="shared" si="2"/>
        <v>2017</v>
      </c>
      <c r="Q36" s="6">
        <v>2</v>
      </c>
      <c r="R36" s="6">
        <v>2</v>
      </c>
      <c r="S36" s="6" t="s">
        <v>53</v>
      </c>
      <c r="T36" s="6">
        <v>30</v>
      </c>
    </row>
    <row r="37" spans="1:20" x14ac:dyDescent="0.35">
      <c r="A37" t="s">
        <v>593</v>
      </c>
      <c r="B37" s="6" t="s">
        <v>470</v>
      </c>
      <c r="C37" s="6">
        <v>47</v>
      </c>
      <c r="D37" s="6" t="s">
        <v>15</v>
      </c>
      <c r="E37" s="6" t="s">
        <v>52</v>
      </c>
      <c r="F37" s="6" t="s">
        <v>59</v>
      </c>
      <c r="G37" s="6" t="s">
        <v>31</v>
      </c>
      <c r="H37" s="6" t="s">
        <v>42</v>
      </c>
      <c r="I37" s="8">
        <v>592928.94999999995</v>
      </c>
      <c r="J37" s="8">
        <v>592928.94999999995</v>
      </c>
      <c r="K37" t="s">
        <v>112</v>
      </c>
      <c r="L37" s="6" t="s">
        <v>113</v>
      </c>
      <c r="M37" s="11">
        <v>45293</v>
      </c>
      <c r="N37" s="13" t="str">
        <f t="shared" si="0"/>
        <v>Tue</v>
      </c>
      <c r="O37" s="13" t="str">
        <f t="shared" si="1"/>
        <v>Jan</v>
      </c>
      <c r="P37" s="13" t="str">
        <f t="shared" si="2"/>
        <v>2024</v>
      </c>
      <c r="Q37" s="6">
        <v>7.5</v>
      </c>
      <c r="R37" s="6">
        <v>14</v>
      </c>
      <c r="S37" s="6" t="s">
        <v>53</v>
      </c>
      <c r="T37" s="6">
        <v>42</v>
      </c>
    </row>
    <row r="38" spans="1:20" x14ac:dyDescent="0.35">
      <c r="A38" t="s">
        <v>594</v>
      </c>
      <c r="B38" s="6" t="s">
        <v>114</v>
      </c>
      <c r="C38" s="6">
        <v>38</v>
      </c>
      <c r="D38" s="6" t="s">
        <v>15</v>
      </c>
      <c r="E38" s="6" t="s">
        <v>75</v>
      </c>
      <c r="F38" s="6" t="s">
        <v>59</v>
      </c>
      <c r="G38" s="6" t="s">
        <v>60</v>
      </c>
      <c r="H38" s="6" t="s">
        <v>21</v>
      </c>
      <c r="I38" s="8">
        <v>744549.23</v>
      </c>
      <c r="J38" s="8">
        <v>744549.23</v>
      </c>
      <c r="K38" t="s">
        <v>115</v>
      </c>
      <c r="L38" s="6" t="s">
        <v>116</v>
      </c>
      <c r="M38" s="11">
        <v>41244</v>
      </c>
      <c r="N38" s="13" t="str">
        <f t="shared" si="0"/>
        <v>Sat</v>
      </c>
      <c r="O38" s="13" t="str">
        <f t="shared" si="1"/>
        <v>Dec</v>
      </c>
      <c r="P38" s="13" t="str">
        <f t="shared" si="2"/>
        <v>2012</v>
      </c>
      <c r="Q38" s="6">
        <v>6.2</v>
      </c>
      <c r="R38" s="6">
        <v>14</v>
      </c>
      <c r="S38" s="6" t="s">
        <v>29</v>
      </c>
      <c r="T38" s="6">
        <v>37</v>
      </c>
    </row>
    <row r="39" spans="1:20" x14ac:dyDescent="0.35">
      <c r="A39" t="s">
        <v>595</v>
      </c>
      <c r="B39" s="6" t="s">
        <v>471</v>
      </c>
      <c r="C39" s="6">
        <v>57</v>
      </c>
      <c r="D39" s="6" t="s">
        <v>15</v>
      </c>
      <c r="E39" s="6" t="s">
        <v>79</v>
      </c>
      <c r="F39" s="6" t="s">
        <v>17</v>
      </c>
      <c r="G39" s="6" t="s">
        <v>31</v>
      </c>
      <c r="H39" s="6" t="s">
        <v>42</v>
      </c>
      <c r="J39" s="8">
        <v>0</v>
      </c>
      <c r="K39" t="s">
        <v>117</v>
      </c>
      <c r="L39" s="6" t="s">
        <v>118</v>
      </c>
      <c r="M39" s="11">
        <v>43054</v>
      </c>
      <c r="N39" s="13" t="str">
        <f t="shared" si="0"/>
        <v>Wed</v>
      </c>
      <c r="O39" s="13" t="str">
        <f t="shared" si="1"/>
        <v>Nov</v>
      </c>
      <c r="P39" s="13" t="str">
        <f t="shared" si="2"/>
        <v>2017</v>
      </c>
      <c r="Q39" s="6">
        <v>4.0999999999999996</v>
      </c>
      <c r="R39" s="6">
        <v>5</v>
      </c>
      <c r="S39" s="6" t="s">
        <v>53</v>
      </c>
      <c r="T39" s="6">
        <v>62</v>
      </c>
    </row>
    <row r="40" spans="1:20" x14ac:dyDescent="0.35">
      <c r="A40" t="s">
        <v>596</v>
      </c>
      <c r="B40" s="6" t="s">
        <v>119</v>
      </c>
      <c r="C40" s="6">
        <v>49</v>
      </c>
      <c r="D40" s="6" t="s">
        <v>15</v>
      </c>
      <c r="E40" s="6" t="s">
        <v>75</v>
      </c>
      <c r="F40" s="6" t="s">
        <v>41</v>
      </c>
      <c r="G40" s="6" t="s">
        <v>18</v>
      </c>
      <c r="H40" s="6" t="s">
        <v>32</v>
      </c>
      <c r="J40" s="8">
        <v>0</v>
      </c>
      <c r="K40" t="s">
        <v>120</v>
      </c>
      <c r="L40" s="6" t="s">
        <v>121</v>
      </c>
      <c r="M40" s="11">
        <v>44495</v>
      </c>
      <c r="N40" s="13" t="str">
        <f t="shared" si="0"/>
        <v>Tue</v>
      </c>
      <c r="O40" s="13" t="str">
        <f t="shared" si="1"/>
        <v>Oct</v>
      </c>
      <c r="P40" s="13" t="str">
        <f t="shared" si="2"/>
        <v>2021</v>
      </c>
      <c r="Q40" s="6">
        <v>3.6</v>
      </c>
      <c r="R40" s="6">
        <v>27</v>
      </c>
      <c r="S40" s="6" t="s">
        <v>53</v>
      </c>
      <c r="T40" s="6">
        <v>23</v>
      </c>
    </row>
    <row r="41" spans="1:20" x14ac:dyDescent="0.35">
      <c r="A41" t="s">
        <v>597</v>
      </c>
      <c r="B41" s="6" t="s">
        <v>122</v>
      </c>
      <c r="C41" s="6">
        <v>24</v>
      </c>
      <c r="D41" s="6" t="s">
        <v>46</v>
      </c>
      <c r="E41" s="6" t="s">
        <v>79</v>
      </c>
      <c r="F41" s="6" t="s">
        <v>34</v>
      </c>
      <c r="G41" s="6" t="s">
        <v>31</v>
      </c>
      <c r="H41" s="6" t="s">
        <v>21</v>
      </c>
      <c r="I41" s="8">
        <v>136061.07999999999</v>
      </c>
      <c r="J41" s="8">
        <v>136061.07999999999</v>
      </c>
      <c r="K41" t="s">
        <v>123</v>
      </c>
      <c r="L41" s="6" t="s">
        <v>124</v>
      </c>
      <c r="M41" s="11">
        <v>43497</v>
      </c>
      <c r="N41" s="13" t="str">
        <f t="shared" si="0"/>
        <v>Fri</v>
      </c>
      <c r="O41" s="13" t="str">
        <f t="shared" si="1"/>
        <v>Feb</v>
      </c>
      <c r="P41" s="13" t="str">
        <f t="shared" si="2"/>
        <v>2019</v>
      </c>
      <c r="Q41" s="6">
        <v>4.5999999999999996</v>
      </c>
      <c r="R41" s="6">
        <v>21</v>
      </c>
      <c r="S41" s="6" t="s">
        <v>53</v>
      </c>
      <c r="T41" s="6">
        <v>51</v>
      </c>
    </row>
    <row r="42" spans="1:20" x14ac:dyDescent="0.35">
      <c r="A42" t="s">
        <v>598</v>
      </c>
      <c r="B42" s="6" t="s">
        <v>343</v>
      </c>
      <c r="C42" s="6">
        <v>44</v>
      </c>
      <c r="D42" s="6" t="s">
        <v>555</v>
      </c>
      <c r="E42" s="6" t="s">
        <v>52</v>
      </c>
      <c r="F42" s="6" t="s">
        <v>26</v>
      </c>
      <c r="G42" s="6" t="s">
        <v>27</v>
      </c>
      <c r="H42" s="6" t="s">
        <v>82</v>
      </c>
      <c r="I42" s="8" t="s">
        <v>125</v>
      </c>
      <c r="J42" s="8">
        <v>666827</v>
      </c>
      <c r="K42" t="s">
        <v>126</v>
      </c>
      <c r="L42" s="6" t="s">
        <v>127</v>
      </c>
      <c r="M42" s="11">
        <v>41630</v>
      </c>
      <c r="N42" s="13" t="str">
        <f t="shared" si="0"/>
        <v>Sun</v>
      </c>
      <c r="O42" s="13" t="str">
        <f t="shared" si="1"/>
        <v>Dec</v>
      </c>
      <c r="P42" s="13" t="str">
        <f t="shared" si="2"/>
        <v>2013</v>
      </c>
      <c r="Q42" s="6">
        <v>8.8000000000000007</v>
      </c>
      <c r="R42" s="6">
        <v>4</v>
      </c>
      <c r="S42" s="6" t="s">
        <v>29</v>
      </c>
      <c r="T42" s="6">
        <v>28</v>
      </c>
    </row>
    <row r="43" spans="1:20" x14ac:dyDescent="0.35">
      <c r="A43" t="s">
        <v>599</v>
      </c>
      <c r="B43" s="6" t="s">
        <v>472</v>
      </c>
      <c r="C43" s="6">
        <v>51</v>
      </c>
      <c r="D43" s="6" t="s">
        <v>46</v>
      </c>
      <c r="E43" s="6" t="s">
        <v>71</v>
      </c>
      <c r="F43" s="6" t="s">
        <v>41</v>
      </c>
      <c r="G43" s="6" t="s">
        <v>60</v>
      </c>
      <c r="H43" s="6" t="s">
        <v>42</v>
      </c>
      <c r="I43" s="8">
        <v>678821.57</v>
      </c>
      <c r="J43" s="8">
        <v>678821.57</v>
      </c>
      <c r="K43" t="s">
        <v>128</v>
      </c>
      <c r="L43" s="6" t="s">
        <v>129</v>
      </c>
      <c r="M43" s="11">
        <v>43969</v>
      </c>
      <c r="N43" s="13" t="str">
        <f t="shared" si="0"/>
        <v>Mon</v>
      </c>
      <c r="O43" s="13" t="str">
        <f t="shared" si="1"/>
        <v>May</v>
      </c>
      <c r="P43" s="13" t="str">
        <f t="shared" si="2"/>
        <v>2020</v>
      </c>
      <c r="Q43" s="6">
        <v>1.9</v>
      </c>
      <c r="R43" s="6">
        <v>5</v>
      </c>
      <c r="S43" s="6" t="s">
        <v>53</v>
      </c>
      <c r="T43" s="6" t="s">
        <v>555</v>
      </c>
    </row>
    <row r="44" spans="1:20" x14ac:dyDescent="0.35">
      <c r="A44" t="s">
        <v>600</v>
      </c>
      <c r="B44" s="6" t="s">
        <v>473</v>
      </c>
      <c r="C44" s="6">
        <v>55</v>
      </c>
      <c r="D44" s="6" t="s">
        <v>555</v>
      </c>
      <c r="E44" s="6" t="s">
        <v>16</v>
      </c>
      <c r="F44" s="6" t="s">
        <v>17</v>
      </c>
      <c r="G44" s="6" t="s">
        <v>18</v>
      </c>
      <c r="H44" s="6" t="s">
        <v>82</v>
      </c>
      <c r="I44" s="8">
        <v>740914.49</v>
      </c>
      <c r="J44" s="8">
        <v>740914.49</v>
      </c>
      <c r="K44" t="s">
        <v>130</v>
      </c>
      <c r="L44" s="6" t="s">
        <v>131</v>
      </c>
      <c r="M44" s="11">
        <v>40718</v>
      </c>
      <c r="N44" s="13" t="str">
        <f t="shared" si="0"/>
        <v>Fri</v>
      </c>
      <c r="O44" s="13" t="str">
        <f t="shared" si="1"/>
        <v>Jun</v>
      </c>
      <c r="P44" s="13" t="str">
        <f t="shared" si="2"/>
        <v>2011</v>
      </c>
      <c r="Q44" s="6">
        <v>3.8</v>
      </c>
      <c r="R44" s="6">
        <v>8</v>
      </c>
      <c r="S44" s="6" t="s">
        <v>29</v>
      </c>
      <c r="T44" s="6">
        <v>38</v>
      </c>
    </row>
    <row r="45" spans="1:20" x14ac:dyDescent="0.35">
      <c r="A45" t="s">
        <v>601</v>
      </c>
      <c r="B45" s="6" t="s">
        <v>132</v>
      </c>
      <c r="C45" s="6">
        <v>55</v>
      </c>
      <c r="D45" s="6" t="s">
        <v>46</v>
      </c>
      <c r="E45" s="6" t="s">
        <v>25</v>
      </c>
      <c r="F45" s="6" t="s">
        <v>34</v>
      </c>
      <c r="G45" s="6" t="s">
        <v>64</v>
      </c>
      <c r="H45" s="6" t="s">
        <v>42</v>
      </c>
      <c r="I45" s="8">
        <v>446111.71</v>
      </c>
      <c r="J45" s="8">
        <v>446111.71</v>
      </c>
      <c r="K45" t="s">
        <v>133</v>
      </c>
      <c r="L45" s="6" t="s">
        <v>134</v>
      </c>
      <c r="M45" s="11">
        <v>42034</v>
      </c>
      <c r="N45" s="13" t="str">
        <f t="shared" si="0"/>
        <v>Fri</v>
      </c>
      <c r="O45" s="13" t="str">
        <f t="shared" si="1"/>
        <v>Jan</v>
      </c>
      <c r="P45" s="13" t="str">
        <f t="shared" si="2"/>
        <v>2015</v>
      </c>
      <c r="Q45" s="6">
        <v>7</v>
      </c>
      <c r="R45" s="6">
        <v>24</v>
      </c>
      <c r="S45" s="6" t="s">
        <v>53</v>
      </c>
      <c r="T45" s="6">
        <v>77</v>
      </c>
    </row>
    <row r="46" spans="1:20" x14ac:dyDescent="0.35">
      <c r="A46" t="s">
        <v>602</v>
      </c>
      <c r="B46" s="6" t="s">
        <v>135</v>
      </c>
      <c r="C46" s="6">
        <v>48</v>
      </c>
      <c r="D46" s="6" t="s">
        <v>46</v>
      </c>
      <c r="E46" s="6" t="s">
        <v>52</v>
      </c>
      <c r="F46" s="6" t="s">
        <v>57</v>
      </c>
      <c r="G46" s="6" t="s">
        <v>64</v>
      </c>
      <c r="H46" s="6" t="s">
        <v>42</v>
      </c>
      <c r="I46" s="8">
        <v>778103.79</v>
      </c>
      <c r="J46" s="8">
        <v>778103.79</v>
      </c>
      <c r="K46" t="s">
        <v>136</v>
      </c>
      <c r="L46" s="6" t="s">
        <v>137</v>
      </c>
      <c r="M46" s="11">
        <v>44021</v>
      </c>
      <c r="N46" s="13" t="str">
        <f t="shared" si="0"/>
        <v>Thu</v>
      </c>
      <c r="O46" s="13" t="str">
        <f t="shared" si="1"/>
        <v>Jul</v>
      </c>
      <c r="P46" s="13" t="str">
        <f t="shared" si="2"/>
        <v>2020</v>
      </c>
      <c r="Q46" s="6">
        <v>4.8</v>
      </c>
      <c r="R46" s="6">
        <v>8</v>
      </c>
      <c r="S46" s="6" t="s">
        <v>29</v>
      </c>
      <c r="T46" s="6">
        <v>87</v>
      </c>
    </row>
    <row r="47" spans="1:20" x14ac:dyDescent="0.35">
      <c r="A47" t="s">
        <v>603</v>
      </c>
      <c r="B47" s="6" t="s">
        <v>474</v>
      </c>
      <c r="C47" s="6">
        <v>29</v>
      </c>
      <c r="D47" s="6" t="s">
        <v>46</v>
      </c>
      <c r="E47" s="6" t="s">
        <v>71</v>
      </c>
      <c r="F47" s="6" t="s">
        <v>17</v>
      </c>
      <c r="G47" s="6" t="s">
        <v>31</v>
      </c>
      <c r="H47" s="6" t="s">
        <v>82</v>
      </c>
      <c r="J47" s="8">
        <v>0</v>
      </c>
      <c r="K47" t="s">
        <v>138</v>
      </c>
      <c r="L47" s="6" t="s">
        <v>139</v>
      </c>
      <c r="M47" s="11">
        <v>40397</v>
      </c>
      <c r="N47" s="13" t="str">
        <f t="shared" si="0"/>
        <v>Sat</v>
      </c>
      <c r="O47" s="13" t="str">
        <f t="shared" si="1"/>
        <v>Aug</v>
      </c>
      <c r="P47" s="13" t="str">
        <f t="shared" si="2"/>
        <v>2010</v>
      </c>
      <c r="Q47" s="6">
        <v>8.1</v>
      </c>
      <c r="R47" s="6">
        <v>30</v>
      </c>
      <c r="S47" s="6" t="s">
        <v>53</v>
      </c>
      <c r="T47" s="6">
        <v>47</v>
      </c>
    </row>
    <row r="48" spans="1:20" x14ac:dyDescent="0.35">
      <c r="A48" t="s">
        <v>604</v>
      </c>
      <c r="B48" s="6" t="s">
        <v>140</v>
      </c>
      <c r="C48" s="6">
        <v>38</v>
      </c>
      <c r="D48" s="6" t="s">
        <v>46</v>
      </c>
      <c r="E48" s="6" t="s">
        <v>37</v>
      </c>
      <c r="F48" s="6" t="s">
        <v>26</v>
      </c>
      <c r="G48" s="6" t="s">
        <v>27</v>
      </c>
      <c r="H48" s="6" t="s">
        <v>42</v>
      </c>
      <c r="I48" s="8">
        <v>756962.68</v>
      </c>
      <c r="J48" s="8">
        <v>756962.68</v>
      </c>
      <c r="K48" t="s">
        <v>141</v>
      </c>
      <c r="L48" s="6" t="s">
        <v>142</v>
      </c>
      <c r="M48" s="11">
        <v>42132</v>
      </c>
      <c r="N48" s="13" t="str">
        <f t="shared" si="0"/>
        <v>Fri</v>
      </c>
      <c r="O48" s="13" t="str">
        <f t="shared" si="1"/>
        <v>May</v>
      </c>
      <c r="P48" s="13" t="str">
        <f t="shared" si="2"/>
        <v>2015</v>
      </c>
      <c r="Q48" s="6" t="s">
        <v>555</v>
      </c>
      <c r="R48" s="6">
        <v>22</v>
      </c>
      <c r="S48" s="6" t="s">
        <v>53</v>
      </c>
      <c r="T48" s="6">
        <v>67</v>
      </c>
    </row>
    <row r="49" spans="1:20" x14ac:dyDescent="0.35">
      <c r="A49" t="s">
        <v>605</v>
      </c>
      <c r="B49" s="6" t="s">
        <v>475</v>
      </c>
      <c r="C49" s="6">
        <v>56</v>
      </c>
      <c r="D49" s="6" t="s">
        <v>46</v>
      </c>
      <c r="E49" s="6" t="s">
        <v>37</v>
      </c>
      <c r="F49" s="6" t="s">
        <v>48</v>
      </c>
      <c r="G49" s="6" t="s">
        <v>60</v>
      </c>
      <c r="H49" s="6" t="s">
        <v>82</v>
      </c>
      <c r="I49" s="8">
        <v>478989.41</v>
      </c>
      <c r="J49" s="8">
        <v>478989.41</v>
      </c>
      <c r="K49" t="s">
        <v>143</v>
      </c>
      <c r="L49" s="6" t="s">
        <v>555</v>
      </c>
      <c r="M49" s="11">
        <v>40312</v>
      </c>
      <c r="N49" s="13" t="str">
        <f t="shared" si="0"/>
        <v>Fri</v>
      </c>
      <c r="O49" s="13" t="str">
        <f t="shared" si="1"/>
        <v>May</v>
      </c>
      <c r="P49" s="13" t="str">
        <f t="shared" si="2"/>
        <v>2010</v>
      </c>
      <c r="Q49" s="6">
        <v>5.9</v>
      </c>
      <c r="R49" s="6">
        <v>29</v>
      </c>
      <c r="S49" s="6" t="s">
        <v>53</v>
      </c>
      <c r="T49" s="6">
        <v>81</v>
      </c>
    </row>
    <row r="50" spans="1:20" x14ac:dyDescent="0.35">
      <c r="A50" t="s">
        <v>606</v>
      </c>
      <c r="B50" s="6" t="s">
        <v>476</v>
      </c>
      <c r="C50" s="6">
        <v>24</v>
      </c>
      <c r="D50" s="6" t="s">
        <v>46</v>
      </c>
      <c r="E50" s="6" t="s">
        <v>71</v>
      </c>
      <c r="F50" s="6" t="s">
        <v>41</v>
      </c>
      <c r="G50" s="6" t="s">
        <v>68</v>
      </c>
      <c r="H50" s="6" t="s">
        <v>555</v>
      </c>
      <c r="I50" s="8">
        <v>307228.99</v>
      </c>
      <c r="J50" s="8">
        <v>307228.99</v>
      </c>
      <c r="K50" t="s">
        <v>144</v>
      </c>
      <c r="L50" s="6" t="s">
        <v>145</v>
      </c>
      <c r="M50" s="11">
        <v>45478</v>
      </c>
      <c r="N50" s="13" t="str">
        <f t="shared" si="0"/>
        <v>Fri</v>
      </c>
      <c r="O50" s="13" t="str">
        <f t="shared" si="1"/>
        <v>Jul</v>
      </c>
      <c r="P50" s="13" t="str">
        <f t="shared" si="2"/>
        <v>2024</v>
      </c>
      <c r="Q50" s="6">
        <v>4.0999999999999996</v>
      </c>
      <c r="R50" s="6">
        <v>23</v>
      </c>
      <c r="S50" s="6" t="s">
        <v>555</v>
      </c>
      <c r="T50" s="6">
        <v>8</v>
      </c>
    </row>
    <row r="51" spans="1:20" x14ac:dyDescent="0.35">
      <c r="A51" t="s">
        <v>607</v>
      </c>
      <c r="B51" s="6" t="s">
        <v>477</v>
      </c>
      <c r="C51" s="6">
        <v>56</v>
      </c>
      <c r="D51" s="6" t="s">
        <v>15</v>
      </c>
      <c r="E51" s="6" t="s">
        <v>79</v>
      </c>
      <c r="F51" s="6" t="s">
        <v>17</v>
      </c>
      <c r="G51" s="6" t="s">
        <v>64</v>
      </c>
      <c r="H51" s="6" t="s">
        <v>42</v>
      </c>
      <c r="I51" s="8">
        <v>316102.33</v>
      </c>
      <c r="J51" s="8">
        <v>316102.33</v>
      </c>
      <c r="K51" t="s">
        <v>146</v>
      </c>
      <c r="L51" s="6" t="s">
        <v>147</v>
      </c>
      <c r="M51" s="11">
        <v>43841</v>
      </c>
      <c r="N51" s="13" t="str">
        <f t="shared" si="0"/>
        <v>Sat</v>
      </c>
      <c r="O51" s="13" t="str">
        <f t="shared" si="1"/>
        <v>Jan</v>
      </c>
      <c r="P51" s="13" t="str">
        <f t="shared" si="2"/>
        <v>2020</v>
      </c>
      <c r="Q51" s="6">
        <v>9.6</v>
      </c>
      <c r="R51" s="6" t="s">
        <v>555</v>
      </c>
      <c r="S51" s="6" t="s">
        <v>29</v>
      </c>
      <c r="T51" s="6">
        <v>65</v>
      </c>
    </row>
    <row r="52" spans="1:20" x14ac:dyDescent="0.35">
      <c r="A52" t="s">
        <v>608</v>
      </c>
      <c r="B52" s="6" t="s">
        <v>148</v>
      </c>
      <c r="C52" s="6">
        <v>60</v>
      </c>
      <c r="D52" s="6" t="s">
        <v>15</v>
      </c>
      <c r="E52" s="6" t="s">
        <v>25</v>
      </c>
      <c r="F52" s="6" t="s">
        <v>41</v>
      </c>
      <c r="G52" s="6" t="s">
        <v>68</v>
      </c>
      <c r="H52" s="6" t="s">
        <v>42</v>
      </c>
      <c r="I52" s="8" t="s">
        <v>149</v>
      </c>
      <c r="J52" s="8">
        <v>347094</v>
      </c>
      <c r="K52" t="s">
        <v>150</v>
      </c>
      <c r="L52" s="6" t="s">
        <v>151</v>
      </c>
      <c r="M52" s="11">
        <v>42223</v>
      </c>
      <c r="N52" s="13" t="str">
        <f t="shared" si="0"/>
        <v>Fri</v>
      </c>
      <c r="O52" s="13" t="str">
        <f t="shared" si="1"/>
        <v>Aug</v>
      </c>
      <c r="P52" s="13" t="str">
        <f t="shared" si="2"/>
        <v>2015</v>
      </c>
      <c r="Q52" s="6">
        <v>10</v>
      </c>
      <c r="R52" s="6">
        <v>31</v>
      </c>
      <c r="S52" s="6" t="s">
        <v>53</v>
      </c>
      <c r="T52" s="6">
        <v>45</v>
      </c>
    </row>
    <row r="53" spans="1:20" x14ac:dyDescent="0.35">
      <c r="A53" t="s">
        <v>609</v>
      </c>
      <c r="B53" s="6" t="s">
        <v>152</v>
      </c>
      <c r="C53" s="6">
        <v>42</v>
      </c>
      <c r="D53" s="6" t="s">
        <v>46</v>
      </c>
      <c r="E53" s="6" t="s">
        <v>52</v>
      </c>
      <c r="F53" s="6" t="s">
        <v>48</v>
      </c>
      <c r="G53" s="6" t="s">
        <v>60</v>
      </c>
      <c r="H53" s="6" t="s">
        <v>42</v>
      </c>
      <c r="I53" s="8">
        <v>475997.95</v>
      </c>
      <c r="J53" s="8">
        <v>475997.95</v>
      </c>
      <c r="K53" t="s">
        <v>153</v>
      </c>
      <c r="L53" s="6" t="s">
        <v>154</v>
      </c>
      <c r="M53" s="11">
        <v>43140</v>
      </c>
      <c r="N53" s="13" t="str">
        <f t="shared" si="0"/>
        <v>Fri</v>
      </c>
      <c r="O53" s="13" t="str">
        <f t="shared" si="1"/>
        <v>Feb</v>
      </c>
      <c r="P53" s="13" t="str">
        <f t="shared" si="2"/>
        <v>2018</v>
      </c>
      <c r="Q53" s="6">
        <v>8.1999999999999993</v>
      </c>
      <c r="R53" s="6">
        <v>5</v>
      </c>
      <c r="S53" s="6" t="s">
        <v>53</v>
      </c>
      <c r="T53" s="6">
        <v>72</v>
      </c>
    </row>
    <row r="54" spans="1:20" x14ac:dyDescent="0.35">
      <c r="A54" t="s">
        <v>610</v>
      </c>
      <c r="B54" s="6" t="s">
        <v>478</v>
      </c>
      <c r="C54" s="6">
        <v>26</v>
      </c>
      <c r="D54" s="6" t="s">
        <v>46</v>
      </c>
      <c r="E54" s="6" t="s">
        <v>25</v>
      </c>
      <c r="F54" s="6" t="s">
        <v>17</v>
      </c>
      <c r="G54" s="6" t="s">
        <v>60</v>
      </c>
      <c r="H54" s="6" t="s">
        <v>42</v>
      </c>
      <c r="I54" s="8">
        <v>133398.81</v>
      </c>
      <c r="J54" s="8">
        <v>133398.81</v>
      </c>
      <c r="K54" t="s">
        <v>155</v>
      </c>
      <c r="L54" s="6" t="s">
        <v>555</v>
      </c>
      <c r="M54" s="11">
        <v>45172</v>
      </c>
      <c r="N54" s="13" t="str">
        <f t="shared" si="0"/>
        <v>Sun</v>
      </c>
      <c r="O54" s="13" t="str">
        <f t="shared" si="1"/>
        <v>Sept</v>
      </c>
      <c r="P54" s="13" t="str">
        <f t="shared" si="2"/>
        <v>2023</v>
      </c>
      <c r="Q54" s="6">
        <v>4.0999999999999996</v>
      </c>
      <c r="R54" s="6">
        <v>5</v>
      </c>
      <c r="S54" s="6" t="s">
        <v>29</v>
      </c>
      <c r="T54" s="6">
        <v>27</v>
      </c>
    </row>
    <row r="55" spans="1:20" x14ac:dyDescent="0.35">
      <c r="A55" t="s">
        <v>611</v>
      </c>
      <c r="B55" s="6" t="s">
        <v>156</v>
      </c>
      <c r="C55" s="6">
        <v>54</v>
      </c>
      <c r="D55" s="6" t="s">
        <v>15</v>
      </c>
      <c r="E55" s="6" t="s">
        <v>37</v>
      </c>
      <c r="F55" s="6" t="s">
        <v>30</v>
      </c>
      <c r="G55" s="6" t="s">
        <v>64</v>
      </c>
      <c r="H55" s="6" t="s">
        <v>32</v>
      </c>
      <c r="I55" s="8">
        <v>498065.48</v>
      </c>
      <c r="J55" s="8">
        <v>498065.48</v>
      </c>
      <c r="K55" t="s">
        <v>157</v>
      </c>
      <c r="L55" s="6" t="s">
        <v>158</v>
      </c>
      <c r="M55" s="11">
        <v>40411</v>
      </c>
      <c r="N55" s="13" t="str">
        <f t="shared" si="0"/>
        <v>Sat</v>
      </c>
      <c r="O55" s="13" t="str">
        <f t="shared" si="1"/>
        <v>Aug</v>
      </c>
      <c r="P55" s="13" t="str">
        <f t="shared" si="2"/>
        <v>2010</v>
      </c>
      <c r="Q55" s="6">
        <v>6.8</v>
      </c>
      <c r="R55" s="6">
        <v>25</v>
      </c>
      <c r="S55" s="6" t="s">
        <v>29</v>
      </c>
      <c r="T55" s="6">
        <v>16</v>
      </c>
    </row>
    <row r="56" spans="1:20" x14ac:dyDescent="0.35">
      <c r="A56" t="s">
        <v>612</v>
      </c>
      <c r="B56" s="6" t="s">
        <v>479</v>
      </c>
      <c r="C56" s="6">
        <v>60</v>
      </c>
      <c r="D56" s="6" t="s">
        <v>15</v>
      </c>
      <c r="E56" s="6" t="s">
        <v>79</v>
      </c>
      <c r="F56" s="6" t="s">
        <v>26</v>
      </c>
      <c r="G56" s="6" t="s">
        <v>27</v>
      </c>
      <c r="H56" s="6" t="s">
        <v>555</v>
      </c>
      <c r="I56" s="8">
        <v>309907.8</v>
      </c>
      <c r="J56" s="8">
        <v>309907.8</v>
      </c>
      <c r="K56" t="s">
        <v>159</v>
      </c>
      <c r="L56" s="6" t="s">
        <v>555</v>
      </c>
      <c r="M56" s="11">
        <v>41048</v>
      </c>
      <c r="N56" s="13" t="str">
        <f t="shared" si="0"/>
        <v>Sat</v>
      </c>
      <c r="O56" s="13" t="str">
        <f t="shared" si="1"/>
        <v>May</v>
      </c>
      <c r="P56" s="13" t="str">
        <f t="shared" si="2"/>
        <v>2012</v>
      </c>
      <c r="Q56" s="6">
        <v>3.2</v>
      </c>
      <c r="R56" s="6">
        <v>20</v>
      </c>
      <c r="S56" s="6" t="s">
        <v>29</v>
      </c>
      <c r="T56" s="6">
        <v>76</v>
      </c>
    </row>
    <row r="57" spans="1:20" x14ac:dyDescent="0.35">
      <c r="A57" t="s">
        <v>613</v>
      </c>
      <c r="B57" s="6" t="s">
        <v>480</v>
      </c>
      <c r="C57" s="6" t="s">
        <v>555</v>
      </c>
      <c r="D57" s="6" t="s">
        <v>15</v>
      </c>
      <c r="E57" s="6" t="s">
        <v>71</v>
      </c>
      <c r="F57" s="6" t="s">
        <v>41</v>
      </c>
      <c r="G57" s="6" t="s">
        <v>31</v>
      </c>
      <c r="H57" s="6" t="s">
        <v>42</v>
      </c>
      <c r="I57" s="8">
        <v>776014.37</v>
      </c>
      <c r="J57" s="8">
        <v>776014.37</v>
      </c>
      <c r="K57" t="s">
        <v>160</v>
      </c>
      <c r="L57" s="6" t="s">
        <v>555</v>
      </c>
      <c r="M57" s="11">
        <v>44034</v>
      </c>
      <c r="N57" s="13" t="str">
        <f t="shared" si="0"/>
        <v>Wed</v>
      </c>
      <c r="O57" s="13" t="str">
        <f t="shared" si="1"/>
        <v>Jul</v>
      </c>
      <c r="P57" s="13" t="str">
        <f t="shared" si="2"/>
        <v>2020</v>
      </c>
      <c r="Q57" s="6">
        <v>6.1</v>
      </c>
      <c r="R57" s="6">
        <v>4</v>
      </c>
      <c r="S57" s="6" t="s">
        <v>53</v>
      </c>
      <c r="T57" s="6">
        <v>28</v>
      </c>
    </row>
    <row r="58" spans="1:20" x14ac:dyDescent="0.35">
      <c r="A58" t="s">
        <v>614</v>
      </c>
      <c r="B58" s="6" t="s">
        <v>161</v>
      </c>
      <c r="C58" s="6">
        <v>47</v>
      </c>
      <c r="D58" s="6" t="s">
        <v>555</v>
      </c>
      <c r="E58" s="6" t="s">
        <v>16</v>
      </c>
      <c r="F58" s="6" t="s">
        <v>26</v>
      </c>
      <c r="G58" s="6" t="s">
        <v>18</v>
      </c>
      <c r="H58" s="6" t="s">
        <v>555</v>
      </c>
      <c r="I58" s="8">
        <v>481638.92</v>
      </c>
      <c r="J58" s="8">
        <v>481638.92</v>
      </c>
      <c r="K58" t="s">
        <v>162</v>
      </c>
      <c r="L58" s="6" t="s">
        <v>163</v>
      </c>
      <c r="M58" s="11">
        <v>41301</v>
      </c>
      <c r="N58" s="13" t="str">
        <f t="shared" si="0"/>
        <v>Sun</v>
      </c>
      <c r="O58" s="13" t="str">
        <f t="shared" si="1"/>
        <v>Jan</v>
      </c>
      <c r="P58" s="13" t="str">
        <f t="shared" si="2"/>
        <v>2013</v>
      </c>
      <c r="Q58" s="6">
        <v>9.9</v>
      </c>
      <c r="R58" s="6">
        <v>21</v>
      </c>
      <c r="S58" s="6" t="s">
        <v>555</v>
      </c>
      <c r="T58" s="6">
        <v>71</v>
      </c>
    </row>
    <row r="59" spans="1:20" x14ac:dyDescent="0.35">
      <c r="A59" t="s">
        <v>615</v>
      </c>
      <c r="B59" s="6" t="s">
        <v>481</v>
      </c>
      <c r="C59" s="6">
        <v>43</v>
      </c>
      <c r="D59" s="6" t="s">
        <v>555</v>
      </c>
      <c r="E59" s="6" t="s">
        <v>63</v>
      </c>
      <c r="F59" s="6" t="s">
        <v>41</v>
      </c>
      <c r="G59" s="6" t="s">
        <v>60</v>
      </c>
      <c r="H59" s="6" t="s">
        <v>21</v>
      </c>
      <c r="I59" s="8">
        <v>500265.54</v>
      </c>
      <c r="J59" s="8">
        <v>500265.54</v>
      </c>
      <c r="K59" s="6" t="s">
        <v>555</v>
      </c>
      <c r="L59" s="6" t="s">
        <v>555</v>
      </c>
      <c r="M59" s="11">
        <v>44917</v>
      </c>
      <c r="N59" s="13" t="str">
        <f t="shared" si="0"/>
        <v>Thu</v>
      </c>
      <c r="O59" s="13" t="str">
        <f t="shared" si="1"/>
        <v>Dec</v>
      </c>
      <c r="P59" s="13" t="str">
        <f t="shared" si="2"/>
        <v>2022</v>
      </c>
      <c r="Q59" s="6" t="s">
        <v>555</v>
      </c>
      <c r="R59" s="6">
        <v>20</v>
      </c>
      <c r="S59" s="6" t="s">
        <v>53</v>
      </c>
      <c r="T59" s="6">
        <v>41</v>
      </c>
    </row>
    <row r="60" spans="1:20" x14ac:dyDescent="0.35">
      <c r="A60" t="s">
        <v>616</v>
      </c>
      <c r="B60" s="6" t="s">
        <v>164</v>
      </c>
      <c r="C60" s="6">
        <v>25</v>
      </c>
      <c r="D60" s="6" t="s">
        <v>46</v>
      </c>
      <c r="E60" s="6" t="s">
        <v>54</v>
      </c>
      <c r="F60" s="6" t="s">
        <v>30</v>
      </c>
      <c r="G60" s="6" t="s">
        <v>20</v>
      </c>
      <c r="H60" s="6" t="s">
        <v>32</v>
      </c>
      <c r="I60" s="8">
        <v>483838.48</v>
      </c>
      <c r="J60" s="8">
        <v>483838.48</v>
      </c>
      <c r="K60" t="s">
        <v>165</v>
      </c>
      <c r="L60" s="6" t="s">
        <v>555</v>
      </c>
      <c r="M60" s="11">
        <v>42983</v>
      </c>
      <c r="N60" s="13" t="str">
        <f t="shared" si="0"/>
        <v>Tue</v>
      </c>
      <c r="O60" s="13" t="str">
        <f t="shared" si="1"/>
        <v>Sept</v>
      </c>
      <c r="P60" s="13" t="str">
        <f t="shared" si="2"/>
        <v>2017</v>
      </c>
      <c r="Q60" s="6">
        <v>7.3</v>
      </c>
      <c r="R60" s="6">
        <v>30</v>
      </c>
      <c r="S60" s="6" t="s">
        <v>53</v>
      </c>
      <c r="T60" s="6">
        <v>29</v>
      </c>
    </row>
    <row r="61" spans="1:20" x14ac:dyDescent="0.35">
      <c r="A61" t="s">
        <v>617</v>
      </c>
      <c r="B61" s="6" t="s">
        <v>482</v>
      </c>
      <c r="C61" s="6">
        <v>44</v>
      </c>
      <c r="D61" s="6" t="s">
        <v>15</v>
      </c>
      <c r="E61" s="6" t="s">
        <v>79</v>
      </c>
      <c r="F61" s="6" t="s">
        <v>30</v>
      </c>
      <c r="G61" s="6" t="s">
        <v>72</v>
      </c>
      <c r="H61" s="6" t="s">
        <v>42</v>
      </c>
      <c r="I61" s="8">
        <v>289125.90999999997</v>
      </c>
      <c r="J61" s="8">
        <v>289125.90999999997</v>
      </c>
      <c r="K61" t="s">
        <v>166</v>
      </c>
      <c r="L61" s="6" t="s">
        <v>555</v>
      </c>
      <c r="M61" s="11">
        <v>44103</v>
      </c>
      <c r="N61" s="13" t="str">
        <f t="shared" si="0"/>
        <v>Tue</v>
      </c>
      <c r="O61" s="13" t="str">
        <f t="shared" si="1"/>
        <v>Sept</v>
      </c>
      <c r="P61" s="13" t="str">
        <f t="shared" si="2"/>
        <v>2020</v>
      </c>
      <c r="Q61" s="6">
        <v>7</v>
      </c>
      <c r="R61" s="6">
        <v>3</v>
      </c>
      <c r="S61" s="6" t="s">
        <v>29</v>
      </c>
      <c r="T61" s="6">
        <v>10</v>
      </c>
    </row>
    <row r="62" spans="1:20" x14ac:dyDescent="0.35">
      <c r="A62" t="s">
        <v>618</v>
      </c>
      <c r="B62" s="6" t="s">
        <v>483</v>
      </c>
      <c r="C62" s="6">
        <v>32</v>
      </c>
      <c r="D62" s="6" t="s">
        <v>15</v>
      </c>
      <c r="E62" s="6" t="s">
        <v>16</v>
      </c>
      <c r="F62" s="6" t="s">
        <v>57</v>
      </c>
      <c r="G62" s="6" t="s">
        <v>60</v>
      </c>
      <c r="H62" s="6" t="s">
        <v>555</v>
      </c>
      <c r="I62" s="8">
        <v>712447.73</v>
      </c>
      <c r="J62" s="8">
        <v>712447.73</v>
      </c>
      <c r="K62" t="s">
        <v>167</v>
      </c>
      <c r="L62" s="6" t="s">
        <v>168</v>
      </c>
      <c r="M62" s="11">
        <v>40911</v>
      </c>
      <c r="N62" s="13" t="str">
        <f t="shared" si="0"/>
        <v>Tue</v>
      </c>
      <c r="O62" s="13" t="str">
        <f t="shared" si="1"/>
        <v>Jan</v>
      </c>
      <c r="P62" s="13" t="str">
        <f t="shared" si="2"/>
        <v>2012</v>
      </c>
      <c r="Q62" s="6">
        <v>8.1</v>
      </c>
      <c r="R62" s="6">
        <v>18</v>
      </c>
      <c r="S62" s="6" t="s">
        <v>29</v>
      </c>
      <c r="T62" s="6">
        <v>60</v>
      </c>
    </row>
    <row r="63" spans="1:20" x14ac:dyDescent="0.35">
      <c r="A63" t="s">
        <v>619</v>
      </c>
      <c r="B63" s="6" t="s">
        <v>169</v>
      </c>
      <c r="C63" s="6">
        <v>56</v>
      </c>
      <c r="D63" s="6" t="s">
        <v>555</v>
      </c>
      <c r="E63" s="6" t="s">
        <v>47</v>
      </c>
      <c r="F63" s="6" t="s">
        <v>41</v>
      </c>
      <c r="G63" s="6" t="s">
        <v>31</v>
      </c>
      <c r="H63" s="6" t="s">
        <v>555</v>
      </c>
      <c r="I63" s="8">
        <v>176623.96</v>
      </c>
      <c r="J63" s="8">
        <v>176623.96</v>
      </c>
      <c r="K63" t="s">
        <v>170</v>
      </c>
      <c r="L63" s="6" t="s">
        <v>555</v>
      </c>
      <c r="M63" s="11">
        <v>42286</v>
      </c>
      <c r="N63" s="13" t="str">
        <f t="shared" si="0"/>
        <v>Fri</v>
      </c>
      <c r="O63" s="13" t="str">
        <f t="shared" si="1"/>
        <v>Oct</v>
      </c>
      <c r="P63" s="13" t="str">
        <f t="shared" si="2"/>
        <v>2015</v>
      </c>
      <c r="Q63" s="6">
        <v>5.6</v>
      </c>
      <c r="R63" s="6">
        <v>11</v>
      </c>
      <c r="S63" s="6" t="s">
        <v>53</v>
      </c>
      <c r="T63" s="6">
        <v>25</v>
      </c>
    </row>
    <row r="64" spans="1:20" x14ac:dyDescent="0.35">
      <c r="A64" t="s">
        <v>620</v>
      </c>
      <c r="B64" s="6" t="s">
        <v>484</v>
      </c>
      <c r="C64" s="6">
        <v>43</v>
      </c>
      <c r="D64" s="6" t="s">
        <v>15</v>
      </c>
      <c r="E64" s="6" t="s">
        <v>71</v>
      </c>
      <c r="F64" s="6" t="s">
        <v>30</v>
      </c>
      <c r="G64" s="6" t="s">
        <v>18</v>
      </c>
      <c r="H64" s="6" t="s">
        <v>42</v>
      </c>
      <c r="I64" s="8">
        <v>88233.73</v>
      </c>
      <c r="J64" s="8">
        <v>88233.73</v>
      </c>
      <c r="K64" t="s">
        <v>171</v>
      </c>
      <c r="L64" s="6" t="s">
        <v>172</v>
      </c>
      <c r="M64" s="11">
        <v>44295</v>
      </c>
      <c r="N64" s="13" t="str">
        <f t="shared" si="0"/>
        <v>Fri</v>
      </c>
      <c r="O64" s="13" t="str">
        <f t="shared" si="1"/>
        <v>Apr</v>
      </c>
      <c r="P64" s="13" t="str">
        <f t="shared" si="2"/>
        <v>2021</v>
      </c>
      <c r="Q64" s="6">
        <v>2.4</v>
      </c>
      <c r="R64" s="6">
        <v>26</v>
      </c>
      <c r="S64" s="6" t="s">
        <v>53</v>
      </c>
      <c r="T64" s="6">
        <v>80</v>
      </c>
    </row>
    <row r="65" spans="1:20" x14ac:dyDescent="0.35">
      <c r="A65" t="s">
        <v>621</v>
      </c>
      <c r="B65" s="6" t="s">
        <v>173</v>
      </c>
      <c r="C65" s="6">
        <v>60</v>
      </c>
      <c r="D65" s="6" t="s">
        <v>46</v>
      </c>
      <c r="E65" s="6" t="s">
        <v>47</v>
      </c>
      <c r="F65" s="6" t="s">
        <v>34</v>
      </c>
      <c r="G65" s="6" t="s">
        <v>64</v>
      </c>
      <c r="H65" s="6" t="s">
        <v>42</v>
      </c>
      <c r="I65" s="8">
        <v>401658.54</v>
      </c>
      <c r="J65" s="8">
        <v>401658.54</v>
      </c>
      <c r="K65" t="s">
        <v>174</v>
      </c>
      <c r="L65" s="6" t="s">
        <v>175</v>
      </c>
      <c r="M65" s="11">
        <v>44870</v>
      </c>
      <c r="N65" s="13" t="str">
        <f t="shared" si="0"/>
        <v>Sat</v>
      </c>
      <c r="O65" s="13" t="str">
        <f t="shared" si="1"/>
        <v>Nov</v>
      </c>
      <c r="P65" s="13" t="str">
        <f t="shared" si="2"/>
        <v>2022</v>
      </c>
      <c r="Q65" s="6">
        <v>8.3000000000000007</v>
      </c>
      <c r="R65" s="6">
        <v>29</v>
      </c>
      <c r="S65" s="6" t="s">
        <v>555</v>
      </c>
      <c r="T65" s="6">
        <v>81</v>
      </c>
    </row>
    <row r="66" spans="1:20" x14ac:dyDescent="0.35">
      <c r="A66" t="s">
        <v>622</v>
      </c>
      <c r="B66" s="6" t="s">
        <v>176</v>
      </c>
      <c r="C66" s="6" t="s">
        <v>555</v>
      </c>
      <c r="D66" s="6" t="s">
        <v>46</v>
      </c>
      <c r="E66" s="6" t="s">
        <v>63</v>
      </c>
      <c r="F66" s="6" t="s">
        <v>17</v>
      </c>
      <c r="G66" s="6" t="s">
        <v>64</v>
      </c>
      <c r="H66" s="6" t="s">
        <v>42</v>
      </c>
      <c r="I66" s="8">
        <v>328060.78000000003</v>
      </c>
      <c r="J66" s="8">
        <v>328060.78000000003</v>
      </c>
      <c r="K66" s="6" t="s">
        <v>555</v>
      </c>
      <c r="L66" s="6" t="s">
        <v>177</v>
      </c>
      <c r="M66" s="11">
        <v>43558</v>
      </c>
      <c r="N66" s="13" t="str">
        <f t="shared" si="0"/>
        <v>Wed</v>
      </c>
      <c r="O66" s="13" t="str">
        <f t="shared" si="1"/>
        <v>Apr</v>
      </c>
      <c r="P66" s="13" t="str">
        <f t="shared" si="2"/>
        <v>2019</v>
      </c>
      <c r="Q66" s="6">
        <v>6.9</v>
      </c>
      <c r="R66" s="6">
        <v>34</v>
      </c>
      <c r="S66" s="6" t="s">
        <v>53</v>
      </c>
      <c r="T66" s="6">
        <v>22</v>
      </c>
    </row>
    <row r="67" spans="1:20" x14ac:dyDescent="0.35">
      <c r="A67" t="s">
        <v>623</v>
      </c>
      <c r="B67" s="6" t="s">
        <v>214</v>
      </c>
      <c r="C67" s="6">
        <v>56</v>
      </c>
      <c r="D67" s="6" t="s">
        <v>555</v>
      </c>
      <c r="E67" s="6" t="s">
        <v>75</v>
      </c>
      <c r="F67" s="6" t="s">
        <v>41</v>
      </c>
      <c r="G67" s="6" t="s">
        <v>60</v>
      </c>
      <c r="H67" s="6" t="s">
        <v>42</v>
      </c>
      <c r="I67" s="8">
        <v>245358.13</v>
      </c>
      <c r="J67" s="8">
        <v>245358.13</v>
      </c>
      <c r="K67" t="s">
        <v>178</v>
      </c>
      <c r="L67" s="6" t="s">
        <v>179</v>
      </c>
      <c r="M67" s="11">
        <v>45587</v>
      </c>
      <c r="N67" s="13" t="str">
        <f t="shared" ref="N67:N130" si="3">TEXT(M67,"ddd")</f>
        <v>Tue</v>
      </c>
      <c r="O67" s="13" t="str">
        <f t="shared" ref="O67:O130" si="4">TEXT(M67,"mmm")</f>
        <v>Oct</v>
      </c>
      <c r="P67" s="13" t="str">
        <f t="shared" ref="P67:P130" si="5">TEXT(M67,"yyyy")</f>
        <v>2024</v>
      </c>
      <c r="Q67" s="6">
        <v>7.7</v>
      </c>
      <c r="R67" s="6">
        <v>13</v>
      </c>
      <c r="S67" s="6" t="s">
        <v>53</v>
      </c>
      <c r="T67" s="6" t="s">
        <v>555</v>
      </c>
    </row>
    <row r="68" spans="1:20" x14ac:dyDescent="0.35">
      <c r="A68" t="s">
        <v>624</v>
      </c>
      <c r="B68" s="6" t="s">
        <v>180</v>
      </c>
      <c r="C68" s="6">
        <v>58</v>
      </c>
      <c r="D68" s="6" t="s">
        <v>46</v>
      </c>
      <c r="E68" s="6" t="s">
        <v>75</v>
      </c>
      <c r="F68" s="6" t="s">
        <v>34</v>
      </c>
      <c r="G68" s="6" t="s">
        <v>31</v>
      </c>
      <c r="H68" s="6" t="s">
        <v>42</v>
      </c>
      <c r="I68" s="8">
        <v>564222.97</v>
      </c>
      <c r="J68" s="8">
        <v>564222.97</v>
      </c>
      <c r="K68" t="s">
        <v>181</v>
      </c>
      <c r="L68" s="6" t="s">
        <v>182</v>
      </c>
      <c r="M68" s="11">
        <v>42640</v>
      </c>
      <c r="N68" s="13" t="str">
        <f t="shared" si="3"/>
        <v>Tue</v>
      </c>
      <c r="O68" s="13" t="str">
        <f t="shared" si="4"/>
        <v>Sept</v>
      </c>
      <c r="P68" s="13" t="str">
        <f t="shared" si="5"/>
        <v>2016</v>
      </c>
      <c r="Q68" s="6">
        <v>3.9</v>
      </c>
      <c r="R68" s="6">
        <v>24</v>
      </c>
      <c r="S68" s="6" t="s">
        <v>555</v>
      </c>
      <c r="T68" s="6">
        <v>85</v>
      </c>
    </row>
    <row r="69" spans="1:20" x14ac:dyDescent="0.35">
      <c r="A69" t="s">
        <v>625</v>
      </c>
      <c r="B69" s="6" t="s">
        <v>183</v>
      </c>
      <c r="C69" s="6">
        <v>57</v>
      </c>
      <c r="D69" s="6" t="s">
        <v>555</v>
      </c>
      <c r="E69" s="6" t="s">
        <v>37</v>
      </c>
      <c r="F69" s="6" t="s">
        <v>57</v>
      </c>
      <c r="G69" s="6" t="s">
        <v>27</v>
      </c>
      <c r="H69" s="6" t="s">
        <v>42</v>
      </c>
      <c r="I69" s="8">
        <v>461594.11</v>
      </c>
      <c r="J69" s="8">
        <v>461594.11</v>
      </c>
      <c r="K69" s="6" t="s">
        <v>555</v>
      </c>
      <c r="L69" s="6" t="s">
        <v>184</v>
      </c>
      <c r="M69" s="11">
        <v>44566</v>
      </c>
      <c r="N69" s="13" t="str">
        <f t="shared" si="3"/>
        <v>Wed</v>
      </c>
      <c r="O69" s="13" t="str">
        <f t="shared" si="4"/>
        <v>Jan</v>
      </c>
      <c r="P69" s="13" t="str">
        <f t="shared" si="5"/>
        <v>2022</v>
      </c>
      <c r="Q69" s="6">
        <v>3</v>
      </c>
      <c r="R69" s="6">
        <v>19</v>
      </c>
      <c r="S69" s="6" t="s">
        <v>29</v>
      </c>
      <c r="T69" s="6">
        <v>19</v>
      </c>
    </row>
    <row r="70" spans="1:20" x14ac:dyDescent="0.35">
      <c r="A70" t="s">
        <v>626</v>
      </c>
      <c r="B70" s="6" t="s">
        <v>485</v>
      </c>
      <c r="C70" s="6">
        <v>37</v>
      </c>
      <c r="D70" s="6" t="s">
        <v>46</v>
      </c>
      <c r="E70" s="6" t="s">
        <v>71</v>
      </c>
      <c r="F70" s="6" t="s">
        <v>26</v>
      </c>
      <c r="G70" s="6" t="s">
        <v>31</v>
      </c>
      <c r="H70" s="6" t="s">
        <v>42</v>
      </c>
      <c r="I70" s="8">
        <v>365575.08</v>
      </c>
      <c r="J70" s="8">
        <v>365575.08</v>
      </c>
      <c r="K70" t="s">
        <v>185</v>
      </c>
      <c r="L70" s="6" t="s">
        <v>186</v>
      </c>
      <c r="M70" s="11">
        <v>42705</v>
      </c>
      <c r="N70" s="13" t="str">
        <f t="shared" si="3"/>
        <v>Thu</v>
      </c>
      <c r="O70" s="13" t="str">
        <f t="shared" si="4"/>
        <v>Dec</v>
      </c>
      <c r="P70" s="13" t="str">
        <f t="shared" si="5"/>
        <v>2016</v>
      </c>
      <c r="Q70" s="6">
        <v>6.1</v>
      </c>
      <c r="R70" s="6">
        <v>16</v>
      </c>
      <c r="S70" s="6" t="s">
        <v>555</v>
      </c>
      <c r="T70" s="6">
        <v>42</v>
      </c>
    </row>
    <row r="71" spans="1:20" x14ac:dyDescent="0.35">
      <c r="A71" t="s">
        <v>627</v>
      </c>
      <c r="B71" s="6" t="s">
        <v>486</v>
      </c>
      <c r="C71" s="6">
        <v>58</v>
      </c>
      <c r="D71" s="6" t="s">
        <v>46</v>
      </c>
      <c r="E71" s="6" t="s">
        <v>16</v>
      </c>
      <c r="F71" s="6" t="s">
        <v>59</v>
      </c>
      <c r="G71" s="6" t="s">
        <v>60</v>
      </c>
      <c r="H71" s="6" t="s">
        <v>42</v>
      </c>
      <c r="I71" s="8">
        <v>551317.74</v>
      </c>
      <c r="J71" s="8">
        <v>551317.74</v>
      </c>
      <c r="K71" t="s">
        <v>187</v>
      </c>
      <c r="L71" s="6" t="s">
        <v>555</v>
      </c>
      <c r="M71" s="11">
        <v>44197</v>
      </c>
      <c r="N71" s="13" t="str">
        <f t="shared" si="3"/>
        <v>Fri</v>
      </c>
      <c r="O71" s="13" t="str">
        <f t="shared" si="4"/>
        <v>Jan</v>
      </c>
      <c r="P71" s="13" t="str">
        <f t="shared" si="5"/>
        <v>2021</v>
      </c>
      <c r="Q71" s="6">
        <v>1.3</v>
      </c>
      <c r="R71" s="6">
        <v>3</v>
      </c>
      <c r="S71" s="6" t="s">
        <v>53</v>
      </c>
      <c r="T71" s="6">
        <v>63</v>
      </c>
    </row>
    <row r="72" spans="1:20" x14ac:dyDescent="0.35">
      <c r="A72" t="s">
        <v>628</v>
      </c>
      <c r="B72" s="6" t="s">
        <v>487</v>
      </c>
      <c r="C72" s="6">
        <v>51</v>
      </c>
      <c r="D72" s="6" t="s">
        <v>555</v>
      </c>
      <c r="E72" s="6" t="s">
        <v>63</v>
      </c>
      <c r="F72" s="6" t="s">
        <v>30</v>
      </c>
      <c r="G72" s="6" t="s">
        <v>31</v>
      </c>
      <c r="H72" s="6" t="s">
        <v>21</v>
      </c>
      <c r="I72" s="8">
        <v>560063.41</v>
      </c>
      <c r="J72" s="8">
        <v>560063.41</v>
      </c>
      <c r="K72" s="6" t="s">
        <v>555</v>
      </c>
      <c r="L72" s="6" t="s">
        <v>188</v>
      </c>
      <c r="M72" s="11">
        <v>40316</v>
      </c>
      <c r="N72" s="13" t="str">
        <f t="shared" si="3"/>
        <v>Tue</v>
      </c>
      <c r="O72" s="13" t="str">
        <f t="shared" si="4"/>
        <v>May</v>
      </c>
      <c r="P72" s="13" t="str">
        <f t="shared" si="5"/>
        <v>2010</v>
      </c>
      <c r="Q72" s="6">
        <v>5.7</v>
      </c>
      <c r="R72" s="6">
        <v>16</v>
      </c>
      <c r="S72" s="6" t="s">
        <v>29</v>
      </c>
      <c r="T72" s="6">
        <v>8</v>
      </c>
    </row>
    <row r="73" spans="1:20" x14ac:dyDescent="0.35">
      <c r="A73" t="s">
        <v>629</v>
      </c>
      <c r="B73" s="6" t="s">
        <v>189</v>
      </c>
      <c r="C73" s="6">
        <v>36</v>
      </c>
      <c r="D73" s="6" t="s">
        <v>46</v>
      </c>
      <c r="E73" s="6" t="s">
        <v>37</v>
      </c>
      <c r="F73" s="6" t="s">
        <v>34</v>
      </c>
      <c r="G73" s="6" t="s">
        <v>64</v>
      </c>
      <c r="H73" s="6" t="s">
        <v>42</v>
      </c>
      <c r="J73" s="8">
        <v>0</v>
      </c>
      <c r="K73" t="s">
        <v>190</v>
      </c>
      <c r="L73" s="6" t="s">
        <v>555</v>
      </c>
      <c r="M73" s="11">
        <v>44078</v>
      </c>
      <c r="N73" s="13" t="str">
        <f t="shared" si="3"/>
        <v>Fri</v>
      </c>
      <c r="O73" s="13" t="str">
        <f t="shared" si="4"/>
        <v>Sept</v>
      </c>
      <c r="P73" s="13" t="str">
        <f t="shared" si="5"/>
        <v>2020</v>
      </c>
      <c r="Q73" s="6">
        <v>3.1</v>
      </c>
      <c r="R73" s="6">
        <v>30</v>
      </c>
      <c r="S73" s="6" t="s">
        <v>29</v>
      </c>
      <c r="T73" s="6">
        <v>28</v>
      </c>
    </row>
    <row r="74" spans="1:20" x14ac:dyDescent="0.35">
      <c r="A74" t="s">
        <v>630</v>
      </c>
      <c r="B74" s="6" t="s">
        <v>488</v>
      </c>
      <c r="C74" s="6" t="s">
        <v>555</v>
      </c>
      <c r="D74" s="6" t="s">
        <v>46</v>
      </c>
      <c r="E74" s="6" t="s">
        <v>25</v>
      </c>
      <c r="F74" s="6" t="s">
        <v>59</v>
      </c>
      <c r="G74" s="6" t="s">
        <v>31</v>
      </c>
      <c r="H74" s="6" t="s">
        <v>555</v>
      </c>
      <c r="I74" s="8">
        <v>621623.22</v>
      </c>
      <c r="J74" s="8">
        <v>621623.22</v>
      </c>
      <c r="K74" t="s">
        <v>191</v>
      </c>
      <c r="L74" s="6" t="s">
        <v>555</v>
      </c>
      <c r="M74" s="11">
        <v>43366</v>
      </c>
      <c r="N74" s="13" t="str">
        <f t="shared" si="3"/>
        <v>Sun</v>
      </c>
      <c r="O74" s="13" t="str">
        <f t="shared" si="4"/>
        <v>Sept</v>
      </c>
      <c r="P74" s="13" t="str">
        <f t="shared" si="5"/>
        <v>2018</v>
      </c>
      <c r="Q74" s="6">
        <v>3.1</v>
      </c>
      <c r="R74" s="6">
        <v>25</v>
      </c>
      <c r="S74" s="6" t="s">
        <v>29</v>
      </c>
      <c r="T74" s="6" t="s">
        <v>555</v>
      </c>
    </row>
    <row r="75" spans="1:20" x14ac:dyDescent="0.35">
      <c r="A75" t="s">
        <v>631</v>
      </c>
      <c r="B75" s="6" t="s">
        <v>468</v>
      </c>
      <c r="C75" s="6">
        <v>57</v>
      </c>
      <c r="D75" s="6" t="s">
        <v>46</v>
      </c>
      <c r="E75" s="6" t="s">
        <v>79</v>
      </c>
      <c r="F75" s="6" t="s">
        <v>34</v>
      </c>
      <c r="G75" s="6" t="s">
        <v>60</v>
      </c>
      <c r="H75" s="6" t="s">
        <v>32</v>
      </c>
      <c r="I75" s="8">
        <v>569380.30000000005</v>
      </c>
      <c r="J75" s="8">
        <v>569380.30000000005</v>
      </c>
      <c r="K75" t="s">
        <v>104</v>
      </c>
      <c r="L75" s="6" t="s">
        <v>192</v>
      </c>
      <c r="M75" s="11">
        <v>42374</v>
      </c>
      <c r="N75" s="13" t="str">
        <f t="shared" si="3"/>
        <v>Tue</v>
      </c>
      <c r="O75" s="13" t="str">
        <f t="shared" si="4"/>
        <v>Jan</v>
      </c>
      <c r="P75" s="13" t="str">
        <f t="shared" si="5"/>
        <v>2016</v>
      </c>
      <c r="Q75" s="6">
        <v>1.9</v>
      </c>
      <c r="R75" s="6">
        <v>35</v>
      </c>
      <c r="S75" s="6" t="s">
        <v>53</v>
      </c>
      <c r="T75" s="6">
        <v>9</v>
      </c>
    </row>
    <row r="76" spans="1:20" x14ac:dyDescent="0.35">
      <c r="A76" t="s">
        <v>632</v>
      </c>
      <c r="B76" s="6" t="s">
        <v>489</v>
      </c>
      <c r="C76" s="6" t="s">
        <v>555</v>
      </c>
      <c r="D76" s="6" t="s">
        <v>15</v>
      </c>
      <c r="E76" s="6" t="s">
        <v>63</v>
      </c>
      <c r="F76" s="6" t="s">
        <v>30</v>
      </c>
      <c r="G76" s="6" t="s">
        <v>31</v>
      </c>
      <c r="H76" s="6" t="s">
        <v>82</v>
      </c>
      <c r="I76" s="8">
        <v>140983.65</v>
      </c>
      <c r="J76" s="8">
        <v>140983.65</v>
      </c>
      <c r="K76" t="s">
        <v>193</v>
      </c>
      <c r="L76" s="6" t="s">
        <v>555</v>
      </c>
      <c r="M76" s="11">
        <v>43297</v>
      </c>
      <c r="N76" s="13" t="str">
        <f t="shared" si="3"/>
        <v>Mon</v>
      </c>
      <c r="O76" s="13" t="str">
        <f t="shared" si="4"/>
        <v>Jul</v>
      </c>
      <c r="P76" s="13" t="str">
        <f t="shared" si="5"/>
        <v>2018</v>
      </c>
      <c r="Q76" s="6">
        <v>3.3</v>
      </c>
      <c r="R76" s="6">
        <v>12</v>
      </c>
      <c r="S76" s="6" t="s">
        <v>53</v>
      </c>
      <c r="T76" s="6">
        <v>95</v>
      </c>
    </row>
    <row r="77" spans="1:20" x14ac:dyDescent="0.35">
      <c r="A77" t="s">
        <v>633</v>
      </c>
      <c r="B77" s="6" t="s">
        <v>490</v>
      </c>
      <c r="C77" s="6">
        <v>50</v>
      </c>
      <c r="D77" s="6" t="s">
        <v>46</v>
      </c>
      <c r="E77" s="6" t="s">
        <v>37</v>
      </c>
      <c r="F77" s="6" t="s">
        <v>59</v>
      </c>
      <c r="G77" s="6" t="s">
        <v>20</v>
      </c>
      <c r="H77" s="6" t="s">
        <v>555</v>
      </c>
      <c r="I77" s="8" t="s">
        <v>194</v>
      </c>
      <c r="J77" s="8">
        <v>698846.1</v>
      </c>
      <c r="K77" t="s">
        <v>195</v>
      </c>
      <c r="L77" s="6" t="s">
        <v>196</v>
      </c>
      <c r="M77" s="11">
        <v>41634</v>
      </c>
      <c r="N77" s="13" t="str">
        <f t="shared" si="3"/>
        <v>Thu</v>
      </c>
      <c r="O77" s="13" t="str">
        <f t="shared" si="4"/>
        <v>Dec</v>
      </c>
      <c r="P77" s="13" t="str">
        <f t="shared" si="5"/>
        <v>2013</v>
      </c>
      <c r="Q77" s="6">
        <v>4.3</v>
      </c>
      <c r="R77" s="6">
        <v>34</v>
      </c>
      <c r="S77" s="6" t="s">
        <v>53</v>
      </c>
      <c r="T77" s="6">
        <v>95</v>
      </c>
    </row>
    <row r="78" spans="1:20" x14ac:dyDescent="0.35">
      <c r="A78" t="s">
        <v>634</v>
      </c>
      <c r="B78" s="6" t="s">
        <v>491</v>
      </c>
      <c r="C78" s="6">
        <v>26</v>
      </c>
      <c r="D78" s="6" t="s">
        <v>15</v>
      </c>
      <c r="E78" s="6" t="s">
        <v>25</v>
      </c>
      <c r="F78" s="6" t="s">
        <v>26</v>
      </c>
      <c r="G78" s="6" t="s">
        <v>64</v>
      </c>
      <c r="H78" s="6" t="s">
        <v>21</v>
      </c>
      <c r="I78" s="8">
        <v>374581.94</v>
      </c>
      <c r="J78" s="8">
        <v>374581.94</v>
      </c>
      <c r="K78" t="s">
        <v>197</v>
      </c>
      <c r="L78" s="6" t="s">
        <v>198</v>
      </c>
      <c r="M78" s="11" t="s">
        <v>555</v>
      </c>
      <c r="N78" s="13" t="str">
        <f t="shared" si="3"/>
        <v>N/A</v>
      </c>
      <c r="O78" s="13" t="str">
        <f t="shared" si="4"/>
        <v>N/A</v>
      </c>
      <c r="P78" s="13" t="str">
        <f t="shared" si="5"/>
        <v>N/A</v>
      </c>
      <c r="Q78" s="6">
        <v>6.7</v>
      </c>
      <c r="R78" s="6">
        <v>22</v>
      </c>
      <c r="S78" s="6" t="s">
        <v>555</v>
      </c>
      <c r="T78" s="6" t="s">
        <v>555</v>
      </c>
    </row>
    <row r="79" spans="1:20" x14ac:dyDescent="0.35">
      <c r="A79" t="s">
        <v>635</v>
      </c>
      <c r="B79" s="6" t="s">
        <v>492</v>
      </c>
      <c r="C79" s="6">
        <v>49</v>
      </c>
      <c r="D79" s="6" t="s">
        <v>46</v>
      </c>
      <c r="E79" s="6" t="s">
        <v>54</v>
      </c>
      <c r="F79" s="6" t="s">
        <v>555</v>
      </c>
      <c r="G79" s="6" t="s">
        <v>31</v>
      </c>
      <c r="H79" s="6" t="s">
        <v>42</v>
      </c>
      <c r="I79" s="8">
        <v>239840.78</v>
      </c>
      <c r="J79" s="8">
        <v>239840.78</v>
      </c>
      <c r="K79" t="s">
        <v>199</v>
      </c>
      <c r="L79" s="6" t="s">
        <v>200</v>
      </c>
      <c r="M79" s="11">
        <v>43972</v>
      </c>
      <c r="N79" s="13" t="str">
        <f t="shared" si="3"/>
        <v>Thu</v>
      </c>
      <c r="O79" s="13" t="str">
        <f t="shared" si="4"/>
        <v>May</v>
      </c>
      <c r="P79" s="13" t="str">
        <f t="shared" si="5"/>
        <v>2020</v>
      </c>
      <c r="Q79" s="6">
        <v>4.0999999999999996</v>
      </c>
      <c r="R79" s="6">
        <v>33</v>
      </c>
      <c r="S79" s="6" t="s">
        <v>53</v>
      </c>
      <c r="T79" s="6">
        <v>72</v>
      </c>
    </row>
    <row r="80" spans="1:20" x14ac:dyDescent="0.35">
      <c r="A80" t="s">
        <v>636</v>
      </c>
      <c r="B80" s="6" t="s">
        <v>201</v>
      </c>
      <c r="C80" s="6" t="s">
        <v>555</v>
      </c>
      <c r="D80" s="6" t="s">
        <v>15</v>
      </c>
      <c r="E80" s="6" t="s">
        <v>16</v>
      </c>
      <c r="F80" s="6" t="s">
        <v>26</v>
      </c>
      <c r="G80" s="6" t="s">
        <v>60</v>
      </c>
      <c r="H80" s="6" t="s">
        <v>21</v>
      </c>
      <c r="I80" s="8">
        <v>567540.31999999995</v>
      </c>
      <c r="J80" s="8">
        <v>567540.31999999995</v>
      </c>
      <c r="K80" t="s">
        <v>202</v>
      </c>
      <c r="L80" s="6" t="s">
        <v>203</v>
      </c>
      <c r="M80" s="11">
        <v>44765</v>
      </c>
      <c r="N80" s="13" t="str">
        <f t="shared" si="3"/>
        <v>Sat</v>
      </c>
      <c r="O80" s="13" t="str">
        <f t="shared" si="4"/>
        <v>Jul</v>
      </c>
      <c r="P80" s="13" t="str">
        <f t="shared" si="5"/>
        <v>2022</v>
      </c>
      <c r="Q80" s="6">
        <v>8.9</v>
      </c>
      <c r="R80" s="6">
        <v>0</v>
      </c>
      <c r="S80" s="6" t="s">
        <v>53</v>
      </c>
      <c r="T80" s="6">
        <v>70</v>
      </c>
    </row>
    <row r="81" spans="1:20" x14ac:dyDescent="0.35">
      <c r="A81" t="s">
        <v>637</v>
      </c>
      <c r="B81" s="6" t="s">
        <v>493</v>
      </c>
      <c r="C81" s="6">
        <v>33</v>
      </c>
      <c r="D81" s="6" t="s">
        <v>15</v>
      </c>
      <c r="E81" s="6" t="s">
        <v>54</v>
      </c>
      <c r="F81" s="6" t="s">
        <v>59</v>
      </c>
      <c r="G81" s="6" t="s">
        <v>18</v>
      </c>
      <c r="H81" s="6" t="s">
        <v>82</v>
      </c>
      <c r="I81" s="8">
        <v>162047.57999999999</v>
      </c>
      <c r="J81" s="8">
        <v>162047.57999999999</v>
      </c>
      <c r="K81" t="s">
        <v>204</v>
      </c>
      <c r="L81" s="6" t="s">
        <v>555</v>
      </c>
      <c r="M81" s="11">
        <v>43394</v>
      </c>
      <c r="N81" s="13" t="str">
        <f t="shared" si="3"/>
        <v>Sun</v>
      </c>
      <c r="O81" s="13" t="str">
        <f t="shared" si="4"/>
        <v>Oct</v>
      </c>
      <c r="P81" s="13" t="str">
        <f t="shared" si="5"/>
        <v>2018</v>
      </c>
      <c r="Q81" s="6">
        <v>2.1</v>
      </c>
      <c r="R81" s="6">
        <v>9</v>
      </c>
      <c r="S81" s="6" t="s">
        <v>53</v>
      </c>
      <c r="T81" s="6">
        <v>58</v>
      </c>
    </row>
    <row r="82" spans="1:20" x14ac:dyDescent="0.35">
      <c r="A82" t="s">
        <v>638</v>
      </c>
      <c r="B82" s="6" t="s">
        <v>494</v>
      </c>
      <c r="C82" s="6">
        <v>33</v>
      </c>
      <c r="D82" s="6" t="s">
        <v>46</v>
      </c>
      <c r="E82" s="6" t="s">
        <v>52</v>
      </c>
      <c r="F82" s="6" t="s">
        <v>26</v>
      </c>
      <c r="G82" s="6" t="s">
        <v>72</v>
      </c>
      <c r="H82" s="6" t="s">
        <v>32</v>
      </c>
      <c r="I82" s="8">
        <v>181013.51</v>
      </c>
      <c r="J82" s="8">
        <v>181013.51</v>
      </c>
      <c r="K82" t="s">
        <v>205</v>
      </c>
      <c r="L82" s="6" t="s">
        <v>206</v>
      </c>
      <c r="M82" s="11">
        <v>41297</v>
      </c>
      <c r="N82" s="13" t="str">
        <f t="shared" si="3"/>
        <v>Wed</v>
      </c>
      <c r="O82" s="13" t="str">
        <f t="shared" si="4"/>
        <v>Jan</v>
      </c>
      <c r="P82" s="13" t="str">
        <f t="shared" si="5"/>
        <v>2013</v>
      </c>
      <c r="Q82" s="6">
        <v>1.3</v>
      </c>
      <c r="R82" s="6">
        <v>29</v>
      </c>
      <c r="S82" s="6" t="s">
        <v>53</v>
      </c>
      <c r="T82" s="6">
        <v>55</v>
      </c>
    </row>
    <row r="83" spans="1:20" x14ac:dyDescent="0.35">
      <c r="A83" t="s">
        <v>639</v>
      </c>
      <c r="B83" s="6" t="s">
        <v>495</v>
      </c>
      <c r="C83" s="6">
        <v>45</v>
      </c>
      <c r="D83" s="6" t="s">
        <v>46</v>
      </c>
      <c r="E83" s="6" t="s">
        <v>52</v>
      </c>
      <c r="F83" s="6" t="s">
        <v>41</v>
      </c>
      <c r="G83" s="6" t="s">
        <v>72</v>
      </c>
      <c r="H83" s="6" t="s">
        <v>42</v>
      </c>
      <c r="I83" s="8">
        <v>627202.97</v>
      </c>
      <c r="J83" s="8">
        <v>627202.97</v>
      </c>
      <c r="K83" t="s">
        <v>207</v>
      </c>
      <c r="L83" s="6" t="s">
        <v>208</v>
      </c>
      <c r="M83" s="11">
        <v>42206</v>
      </c>
      <c r="N83" s="13" t="str">
        <f t="shared" si="3"/>
        <v>Tue</v>
      </c>
      <c r="O83" s="13" t="str">
        <f t="shared" si="4"/>
        <v>Jul</v>
      </c>
      <c r="P83" s="13" t="str">
        <f t="shared" si="5"/>
        <v>2015</v>
      </c>
      <c r="Q83" s="6">
        <v>8.3000000000000007</v>
      </c>
      <c r="R83" s="6">
        <v>27</v>
      </c>
      <c r="S83" s="6" t="s">
        <v>53</v>
      </c>
      <c r="T83" s="6">
        <v>81</v>
      </c>
    </row>
    <row r="84" spans="1:20" x14ac:dyDescent="0.35">
      <c r="A84" t="s">
        <v>640</v>
      </c>
      <c r="B84" s="6" t="s">
        <v>496</v>
      </c>
      <c r="C84" s="6">
        <v>39</v>
      </c>
      <c r="D84" s="6" t="s">
        <v>15</v>
      </c>
      <c r="E84" s="6" t="s">
        <v>47</v>
      </c>
      <c r="F84" s="6" t="s">
        <v>30</v>
      </c>
      <c r="G84" s="6" t="s">
        <v>72</v>
      </c>
      <c r="H84" s="6" t="s">
        <v>555</v>
      </c>
      <c r="I84" s="8">
        <v>784880.11</v>
      </c>
      <c r="J84" s="8">
        <v>784880.11</v>
      </c>
      <c r="K84" t="s">
        <v>209</v>
      </c>
      <c r="L84" s="6" t="s">
        <v>210</v>
      </c>
      <c r="M84" s="11">
        <v>43550</v>
      </c>
      <c r="N84" s="13" t="str">
        <f t="shared" si="3"/>
        <v>Tue</v>
      </c>
      <c r="O84" s="13" t="str">
        <f t="shared" si="4"/>
        <v>Mar</v>
      </c>
      <c r="P84" s="13" t="str">
        <f t="shared" si="5"/>
        <v>2019</v>
      </c>
      <c r="Q84" s="6">
        <v>5.4</v>
      </c>
      <c r="R84" s="6">
        <v>26</v>
      </c>
      <c r="S84" s="6" t="s">
        <v>29</v>
      </c>
      <c r="T84" s="6">
        <v>88</v>
      </c>
    </row>
    <row r="85" spans="1:20" x14ac:dyDescent="0.35">
      <c r="A85" t="s">
        <v>641</v>
      </c>
      <c r="B85" s="6" t="s">
        <v>497</v>
      </c>
      <c r="C85" s="6">
        <v>45</v>
      </c>
      <c r="D85" s="6" t="s">
        <v>46</v>
      </c>
      <c r="E85" s="6" t="s">
        <v>52</v>
      </c>
      <c r="F85" s="6" t="s">
        <v>17</v>
      </c>
      <c r="G85" s="6" t="s">
        <v>60</v>
      </c>
      <c r="H85" s="6" t="s">
        <v>42</v>
      </c>
      <c r="I85" s="8">
        <v>499007.99</v>
      </c>
      <c r="J85" s="8">
        <v>499007.99</v>
      </c>
      <c r="K85" t="s">
        <v>211</v>
      </c>
      <c r="L85" s="6" t="s">
        <v>555</v>
      </c>
      <c r="M85" s="11">
        <v>43113</v>
      </c>
      <c r="N85" s="13" t="str">
        <f t="shared" si="3"/>
        <v>Sat</v>
      </c>
      <c r="O85" s="13" t="str">
        <f t="shared" si="4"/>
        <v>Jan</v>
      </c>
      <c r="P85" s="13" t="str">
        <f t="shared" si="5"/>
        <v>2018</v>
      </c>
      <c r="Q85" s="6">
        <v>6.2</v>
      </c>
      <c r="R85" s="6">
        <v>21</v>
      </c>
      <c r="S85" s="6" t="s">
        <v>53</v>
      </c>
      <c r="T85" s="6" t="s">
        <v>555</v>
      </c>
    </row>
    <row r="86" spans="1:20" x14ac:dyDescent="0.35">
      <c r="A86" t="s">
        <v>642</v>
      </c>
      <c r="B86" s="6" t="s">
        <v>498</v>
      </c>
      <c r="C86" s="6">
        <v>50</v>
      </c>
      <c r="D86" s="6" t="s">
        <v>15</v>
      </c>
      <c r="E86" s="6" t="s">
        <v>75</v>
      </c>
      <c r="F86" s="6" t="s">
        <v>48</v>
      </c>
      <c r="G86" s="6" t="s">
        <v>72</v>
      </c>
      <c r="H86" s="6" t="s">
        <v>555</v>
      </c>
      <c r="I86" s="8">
        <v>388015.5</v>
      </c>
      <c r="J86" s="8">
        <v>388015.5</v>
      </c>
      <c r="K86" t="s">
        <v>212</v>
      </c>
      <c r="L86" s="6" t="s">
        <v>213</v>
      </c>
      <c r="M86" s="11">
        <v>45541</v>
      </c>
      <c r="N86" s="13" t="str">
        <f t="shared" si="3"/>
        <v>Fri</v>
      </c>
      <c r="O86" s="13" t="str">
        <f t="shared" si="4"/>
        <v>Sept</v>
      </c>
      <c r="P86" s="13" t="str">
        <f t="shared" si="5"/>
        <v>2024</v>
      </c>
      <c r="Q86" s="6" t="s">
        <v>555</v>
      </c>
      <c r="R86" s="6">
        <v>30</v>
      </c>
      <c r="S86" s="6" t="s">
        <v>555</v>
      </c>
      <c r="T86" s="6">
        <v>68</v>
      </c>
    </row>
    <row r="87" spans="1:20" x14ac:dyDescent="0.35">
      <c r="A87" t="s">
        <v>643</v>
      </c>
      <c r="B87" s="6" t="s">
        <v>214</v>
      </c>
      <c r="C87" s="6">
        <v>49</v>
      </c>
      <c r="D87" s="6" t="s">
        <v>46</v>
      </c>
      <c r="E87" s="6" t="s">
        <v>25</v>
      </c>
      <c r="F87" s="6" t="s">
        <v>34</v>
      </c>
      <c r="G87" s="6" t="s">
        <v>18</v>
      </c>
      <c r="H87" s="6" t="s">
        <v>42</v>
      </c>
      <c r="I87" s="8">
        <v>244841.74</v>
      </c>
      <c r="J87" s="8">
        <v>244841.74</v>
      </c>
      <c r="K87" t="s">
        <v>178</v>
      </c>
      <c r="L87" s="6" t="s">
        <v>215</v>
      </c>
      <c r="M87" s="11">
        <v>43314</v>
      </c>
      <c r="N87" s="13" t="str">
        <f t="shared" si="3"/>
        <v>Thu</v>
      </c>
      <c r="O87" s="13" t="str">
        <f t="shared" si="4"/>
        <v>Aug</v>
      </c>
      <c r="P87" s="13" t="str">
        <f t="shared" si="5"/>
        <v>2018</v>
      </c>
      <c r="Q87" s="6">
        <v>4.2</v>
      </c>
      <c r="R87" s="6">
        <v>26</v>
      </c>
      <c r="S87" s="6" t="s">
        <v>53</v>
      </c>
      <c r="T87" s="6">
        <v>9</v>
      </c>
    </row>
    <row r="88" spans="1:20" x14ac:dyDescent="0.35">
      <c r="A88" t="s">
        <v>644</v>
      </c>
      <c r="B88" s="6" t="s">
        <v>499</v>
      </c>
      <c r="C88" s="6">
        <v>46</v>
      </c>
      <c r="D88" s="6" t="s">
        <v>46</v>
      </c>
      <c r="E88" s="6" t="s">
        <v>63</v>
      </c>
      <c r="F88" s="6" t="s">
        <v>30</v>
      </c>
      <c r="G88" s="6" t="s">
        <v>72</v>
      </c>
      <c r="H88" s="6" t="s">
        <v>42</v>
      </c>
      <c r="I88" s="8">
        <v>649575.19999999995</v>
      </c>
      <c r="J88" s="8">
        <v>649575.19999999995</v>
      </c>
      <c r="K88" t="s">
        <v>216</v>
      </c>
      <c r="L88" s="6" t="s">
        <v>217</v>
      </c>
      <c r="M88" s="11">
        <v>40398</v>
      </c>
      <c r="N88" s="13" t="str">
        <f t="shared" si="3"/>
        <v>Sun</v>
      </c>
      <c r="O88" s="13" t="str">
        <f t="shared" si="4"/>
        <v>Aug</v>
      </c>
      <c r="P88" s="13" t="str">
        <f t="shared" si="5"/>
        <v>2010</v>
      </c>
      <c r="Q88" s="6">
        <v>4.5</v>
      </c>
      <c r="R88" s="6">
        <v>4</v>
      </c>
      <c r="S88" s="6" t="s">
        <v>29</v>
      </c>
      <c r="T88" s="6">
        <v>93</v>
      </c>
    </row>
    <row r="89" spans="1:20" x14ac:dyDescent="0.35">
      <c r="A89" t="s">
        <v>645</v>
      </c>
      <c r="B89" s="6" t="s">
        <v>500</v>
      </c>
      <c r="C89" s="6">
        <v>48</v>
      </c>
      <c r="D89" s="6" t="s">
        <v>555</v>
      </c>
      <c r="E89" s="6" t="s">
        <v>63</v>
      </c>
      <c r="F89" s="6" t="s">
        <v>17</v>
      </c>
      <c r="G89" s="6" t="s">
        <v>64</v>
      </c>
      <c r="H89" s="6" t="s">
        <v>42</v>
      </c>
      <c r="J89" s="8">
        <v>0</v>
      </c>
      <c r="K89" t="s">
        <v>218</v>
      </c>
      <c r="L89" s="6" t="s">
        <v>219</v>
      </c>
      <c r="M89" s="11">
        <v>40674</v>
      </c>
      <c r="N89" s="13" t="str">
        <f t="shared" si="3"/>
        <v>Wed</v>
      </c>
      <c r="O89" s="13" t="str">
        <f t="shared" si="4"/>
        <v>May</v>
      </c>
      <c r="P89" s="13" t="str">
        <f t="shared" si="5"/>
        <v>2011</v>
      </c>
      <c r="Q89" s="6">
        <v>6.5</v>
      </c>
      <c r="R89" s="6">
        <v>32</v>
      </c>
      <c r="S89" s="6" t="s">
        <v>53</v>
      </c>
      <c r="T89" s="6">
        <v>33</v>
      </c>
    </row>
    <row r="90" spans="1:20" x14ac:dyDescent="0.35">
      <c r="A90" t="s">
        <v>646</v>
      </c>
      <c r="B90" s="6" t="s">
        <v>501</v>
      </c>
      <c r="C90" s="6">
        <v>37</v>
      </c>
      <c r="D90" s="6" t="s">
        <v>555</v>
      </c>
      <c r="E90" s="6" t="s">
        <v>25</v>
      </c>
      <c r="F90" s="6" t="s">
        <v>41</v>
      </c>
      <c r="G90" s="6" t="s">
        <v>18</v>
      </c>
      <c r="H90" s="6" t="s">
        <v>82</v>
      </c>
      <c r="I90" s="8">
        <v>392828.18</v>
      </c>
      <c r="J90" s="8">
        <v>392828.18</v>
      </c>
      <c r="K90" t="s">
        <v>220</v>
      </c>
      <c r="L90" s="6" t="s">
        <v>221</v>
      </c>
      <c r="M90" s="11">
        <v>40282</v>
      </c>
      <c r="N90" s="13" t="str">
        <f t="shared" si="3"/>
        <v>Wed</v>
      </c>
      <c r="O90" s="13" t="str">
        <f t="shared" si="4"/>
        <v>Apr</v>
      </c>
      <c r="P90" s="13" t="str">
        <f t="shared" si="5"/>
        <v>2010</v>
      </c>
      <c r="Q90" s="6">
        <v>2.1</v>
      </c>
      <c r="R90" s="6">
        <v>7</v>
      </c>
      <c r="S90" s="6" t="s">
        <v>29</v>
      </c>
      <c r="T90" s="6">
        <v>43</v>
      </c>
    </row>
    <row r="91" spans="1:20" x14ac:dyDescent="0.35">
      <c r="A91" t="s">
        <v>647</v>
      </c>
      <c r="B91" s="6" t="s">
        <v>502</v>
      </c>
      <c r="C91" s="6">
        <v>26</v>
      </c>
      <c r="D91" s="6" t="s">
        <v>46</v>
      </c>
      <c r="E91" s="6" t="s">
        <v>75</v>
      </c>
      <c r="F91" s="6" t="s">
        <v>41</v>
      </c>
      <c r="G91" s="6" t="s">
        <v>18</v>
      </c>
      <c r="H91" s="6" t="s">
        <v>42</v>
      </c>
      <c r="I91" s="8">
        <v>119916.16</v>
      </c>
      <c r="J91" s="8">
        <v>119916.16</v>
      </c>
      <c r="K91" t="s">
        <v>222</v>
      </c>
      <c r="L91" s="6" t="s">
        <v>555</v>
      </c>
      <c r="M91" s="11">
        <v>41123</v>
      </c>
      <c r="N91" s="13" t="str">
        <f t="shared" si="3"/>
        <v>Thu</v>
      </c>
      <c r="O91" s="13" t="str">
        <f t="shared" si="4"/>
        <v>Aug</v>
      </c>
      <c r="P91" s="13" t="str">
        <f t="shared" si="5"/>
        <v>2012</v>
      </c>
      <c r="Q91" s="6">
        <v>9.4</v>
      </c>
      <c r="R91" s="6">
        <v>26</v>
      </c>
      <c r="S91" s="6" t="s">
        <v>53</v>
      </c>
      <c r="T91" s="6">
        <v>72</v>
      </c>
    </row>
    <row r="92" spans="1:20" x14ac:dyDescent="0.35">
      <c r="A92" t="s">
        <v>648</v>
      </c>
      <c r="B92" s="6" t="s">
        <v>223</v>
      </c>
      <c r="C92" s="6">
        <v>54</v>
      </c>
      <c r="D92" s="6" t="s">
        <v>555</v>
      </c>
      <c r="E92" s="6" t="s">
        <v>54</v>
      </c>
      <c r="F92" s="6" t="s">
        <v>26</v>
      </c>
      <c r="G92" s="6" t="s">
        <v>60</v>
      </c>
      <c r="H92" s="6" t="s">
        <v>21</v>
      </c>
      <c r="J92" s="8">
        <v>0</v>
      </c>
      <c r="K92" t="s">
        <v>224</v>
      </c>
      <c r="L92" s="6" t="s">
        <v>225</v>
      </c>
      <c r="M92" s="11">
        <v>42724</v>
      </c>
      <c r="N92" s="13" t="str">
        <f t="shared" si="3"/>
        <v>Tue</v>
      </c>
      <c r="O92" s="13" t="str">
        <f t="shared" si="4"/>
        <v>Dec</v>
      </c>
      <c r="P92" s="13" t="str">
        <f t="shared" si="5"/>
        <v>2016</v>
      </c>
      <c r="Q92" s="6">
        <v>9.6999999999999993</v>
      </c>
      <c r="R92" s="6">
        <v>34</v>
      </c>
      <c r="S92" s="6" t="s">
        <v>53</v>
      </c>
      <c r="T92" s="6">
        <v>93</v>
      </c>
    </row>
    <row r="93" spans="1:20" x14ac:dyDescent="0.35">
      <c r="A93" t="s">
        <v>649</v>
      </c>
      <c r="B93" s="6" t="s">
        <v>226</v>
      </c>
      <c r="C93" s="6" t="s">
        <v>555</v>
      </c>
      <c r="D93" s="6" t="s">
        <v>46</v>
      </c>
      <c r="E93" s="6" t="s">
        <v>25</v>
      </c>
      <c r="F93" s="6" t="s">
        <v>34</v>
      </c>
      <c r="G93" s="6" t="s">
        <v>68</v>
      </c>
      <c r="H93" s="6" t="s">
        <v>21</v>
      </c>
      <c r="I93" s="8">
        <v>553258.77</v>
      </c>
      <c r="J93" s="8">
        <v>553258.77</v>
      </c>
      <c r="K93" t="s">
        <v>227</v>
      </c>
      <c r="L93" s="6" t="s">
        <v>228</v>
      </c>
      <c r="M93" s="11">
        <v>44209</v>
      </c>
      <c r="N93" s="13" t="str">
        <f t="shared" si="3"/>
        <v>Wed</v>
      </c>
      <c r="O93" s="13" t="str">
        <f t="shared" si="4"/>
        <v>Jan</v>
      </c>
      <c r="P93" s="13" t="str">
        <f t="shared" si="5"/>
        <v>2021</v>
      </c>
      <c r="Q93" s="6">
        <v>6.2</v>
      </c>
      <c r="R93" s="6">
        <v>25</v>
      </c>
      <c r="S93" s="6" t="s">
        <v>555</v>
      </c>
      <c r="T93" s="6">
        <v>66</v>
      </c>
    </row>
    <row r="94" spans="1:20" x14ac:dyDescent="0.35">
      <c r="A94" t="s">
        <v>650</v>
      </c>
      <c r="B94" s="6" t="s">
        <v>503</v>
      </c>
      <c r="C94" s="6">
        <v>47</v>
      </c>
      <c r="D94" s="6" t="s">
        <v>46</v>
      </c>
      <c r="E94" s="6" t="s">
        <v>52</v>
      </c>
      <c r="F94" s="6" t="s">
        <v>59</v>
      </c>
      <c r="G94" s="6" t="s">
        <v>31</v>
      </c>
      <c r="H94" s="6" t="s">
        <v>21</v>
      </c>
      <c r="I94" s="8" t="s">
        <v>229</v>
      </c>
      <c r="J94" s="8">
        <v>309002</v>
      </c>
      <c r="K94" t="s">
        <v>230</v>
      </c>
      <c r="L94" s="6" t="s">
        <v>231</v>
      </c>
      <c r="M94" s="11">
        <v>41044</v>
      </c>
      <c r="N94" s="13" t="str">
        <f t="shared" si="3"/>
        <v>Tue</v>
      </c>
      <c r="O94" s="13" t="str">
        <f t="shared" si="4"/>
        <v>May</v>
      </c>
      <c r="P94" s="13" t="str">
        <f t="shared" si="5"/>
        <v>2012</v>
      </c>
      <c r="Q94" s="6">
        <v>2.4</v>
      </c>
      <c r="R94" s="6">
        <v>2</v>
      </c>
      <c r="S94" s="6" t="s">
        <v>53</v>
      </c>
      <c r="T94" s="6">
        <v>9</v>
      </c>
    </row>
    <row r="95" spans="1:20" x14ac:dyDescent="0.35">
      <c r="A95" t="s">
        <v>651</v>
      </c>
      <c r="B95" s="6" t="s">
        <v>232</v>
      </c>
      <c r="C95" s="6">
        <v>41</v>
      </c>
      <c r="D95" s="6" t="s">
        <v>46</v>
      </c>
      <c r="E95" s="6" t="s">
        <v>79</v>
      </c>
      <c r="F95" s="6" t="s">
        <v>57</v>
      </c>
      <c r="G95" s="6" t="s">
        <v>31</v>
      </c>
      <c r="H95" s="6" t="s">
        <v>42</v>
      </c>
      <c r="I95" s="8">
        <v>102379.11</v>
      </c>
      <c r="J95" s="8">
        <v>102379.11</v>
      </c>
      <c r="K95" t="s">
        <v>233</v>
      </c>
      <c r="L95" s="6" t="s">
        <v>234</v>
      </c>
      <c r="M95" s="11">
        <v>41324</v>
      </c>
      <c r="N95" s="13" t="str">
        <f t="shared" si="3"/>
        <v>Tue</v>
      </c>
      <c r="O95" s="13" t="str">
        <f t="shared" si="4"/>
        <v>Feb</v>
      </c>
      <c r="P95" s="13" t="str">
        <f t="shared" si="5"/>
        <v>2013</v>
      </c>
      <c r="Q95" s="6">
        <v>10</v>
      </c>
      <c r="R95" s="6">
        <v>8</v>
      </c>
      <c r="S95" s="6" t="s">
        <v>53</v>
      </c>
      <c r="T95" s="6">
        <v>33</v>
      </c>
    </row>
    <row r="96" spans="1:20" x14ac:dyDescent="0.35">
      <c r="A96" t="s">
        <v>652</v>
      </c>
      <c r="B96" s="6" t="s">
        <v>504</v>
      </c>
      <c r="C96" s="6">
        <v>49</v>
      </c>
      <c r="D96" s="6" t="s">
        <v>555</v>
      </c>
      <c r="E96" s="6" t="s">
        <v>52</v>
      </c>
      <c r="F96" s="6" t="s">
        <v>57</v>
      </c>
      <c r="G96" s="6" t="s">
        <v>18</v>
      </c>
      <c r="H96" s="6" t="s">
        <v>555</v>
      </c>
      <c r="I96" s="8">
        <v>101227.25</v>
      </c>
      <c r="J96" s="8">
        <v>101227.25</v>
      </c>
      <c r="K96" t="s">
        <v>235</v>
      </c>
      <c r="L96" s="6" t="s">
        <v>236</v>
      </c>
      <c r="M96" s="11" t="s">
        <v>555</v>
      </c>
      <c r="N96" s="13" t="str">
        <f t="shared" si="3"/>
        <v>N/A</v>
      </c>
      <c r="O96" s="13" t="str">
        <f t="shared" si="4"/>
        <v>N/A</v>
      </c>
      <c r="P96" s="13" t="str">
        <f t="shared" si="5"/>
        <v>N/A</v>
      </c>
      <c r="Q96" s="6">
        <v>2.8</v>
      </c>
      <c r="R96" s="6">
        <v>34</v>
      </c>
      <c r="S96" s="6" t="s">
        <v>53</v>
      </c>
      <c r="T96" s="6">
        <v>36</v>
      </c>
    </row>
    <row r="97" spans="1:20" x14ac:dyDescent="0.35">
      <c r="A97" t="s">
        <v>653</v>
      </c>
      <c r="B97" s="6" t="s">
        <v>451</v>
      </c>
      <c r="C97" s="6">
        <v>54</v>
      </c>
      <c r="D97" s="6" t="s">
        <v>15</v>
      </c>
      <c r="E97" s="6" t="s">
        <v>25</v>
      </c>
      <c r="F97" s="6" t="s">
        <v>34</v>
      </c>
      <c r="G97" s="6" t="s">
        <v>60</v>
      </c>
      <c r="H97" s="6" t="s">
        <v>42</v>
      </c>
      <c r="I97" s="8" t="s">
        <v>237</v>
      </c>
      <c r="J97" s="8">
        <v>98765.34</v>
      </c>
      <c r="K97" t="s">
        <v>49</v>
      </c>
      <c r="L97" s="6" t="s">
        <v>238</v>
      </c>
      <c r="M97" s="11">
        <v>44963</v>
      </c>
      <c r="N97" s="13" t="str">
        <f t="shared" si="3"/>
        <v>Mon</v>
      </c>
      <c r="O97" s="13" t="str">
        <f t="shared" si="4"/>
        <v>Feb</v>
      </c>
      <c r="P97" s="13" t="str">
        <f t="shared" si="5"/>
        <v>2023</v>
      </c>
      <c r="Q97" s="6">
        <v>6.2</v>
      </c>
      <c r="R97" s="6">
        <v>11</v>
      </c>
      <c r="S97" s="6" t="s">
        <v>555</v>
      </c>
      <c r="T97" s="6">
        <v>74</v>
      </c>
    </row>
    <row r="98" spans="1:20" x14ac:dyDescent="0.35">
      <c r="A98" t="s">
        <v>654</v>
      </c>
      <c r="B98" s="6" t="s">
        <v>239</v>
      </c>
      <c r="C98" s="6">
        <v>44</v>
      </c>
      <c r="D98" s="6" t="s">
        <v>46</v>
      </c>
      <c r="E98" s="6" t="s">
        <v>75</v>
      </c>
      <c r="F98" s="6" t="s">
        <v>555</v>
      </c>
      <c r="G98" s="6" t="s">
        <v>18</v>
      </c>
      <c r="H98" s="6" t="s">
        <v>82</v>
      </c>
      <c r="I98" s="8">
        <v>485438.4</v>
      </c>
      <c r="J98" s="8">
        <v>485438.4</v>
      </c>
      <c r="K98" t="s">
        <v>240</v>
      </c>
      <c r="L98" s="6" t="s">
        <v>241</v>
      </c>
      <c r="M98" s="11">
        <v>44196</v>
      </c>
      <c r="N98" s="13" t="str">
        <f t="shared" si="3"/>
        <v>Thu</v>
      </c>
      <c r="O98" s="13" t="str">
        <f t="shared" si="4"/>
        <v>Dec</v>
      </c>
      <c r="P98" s="13" t="str">
        <f t="shared" si="5"/>
        <v>2020</v>
      </c>
      <c r="Q98" s="6">
        <v>7.5</v>
      </c>
      <c r="R98" s="6">
        <v>20</v>
      </c>
      <c r="S98" s="6" t="s">
        <v>53</v>
      </c>
      <c r="T98" s="6">
        <v>92</v>
      </c>
    </row>
    <row r="99" spans="1:20" x14ac:dyDescent="0.35">
      <c r="A99" t="s">
        <v>655</v>
      </c>
      <c r="B99" s="6" t="s">
        <v>505</v>
      </c>
      <c r="C99" s="6">
        <v>26</v>
      </c>
      <c r="D99" s="6" t="s">
        <v>555</v>
      </c>
      <c r="E99" s="6" t="s">
        <v>71</v>
      </c>
      <c r="F99" s="6" t="s">
        <v>59</v>
      </c>
      <c r="G99" s="6" t="s">
        <v>18</v>
      </c>
      <c r="H99" s="6" t="s">
        <v>555</v>
      </c>
      <c r="I99" s="8">
        <v>364828.8</v>
      </c>
      <c r="J99" s="8">
        <v>364828.8</v>
      </c>
      <c r="K99" t="s">
        <v>242</v>
      </c>
      <c r="L99" s="6" t="s">
        <v>243</v>
      </c>
      <c r="M99" s="11">
        <v>45415</v>
      </c>
      <c r="N99" s="13" t="str">
        <f t="shared" si="3"/>
        <v>Fri</v>
      </c>
      <c r="O99" s="13" t="str">
        <f t="shared" si="4"/>
        <v>May</v>
      </c>
      <c r="P99" s="13" t="str">
        <f t="shared" si="5"/>
        <v>2024</v>
      </c>
      <c r="Q99" s="6">
        <v>3.8</v>
      </c>
      <c r="R99" s="6">
        <v>0</v>
      </c>
      <c r="S99" s="6" t="s">
        <v>555</v>
      </c>
      <c r="T99" s="6">
        <v>99</v>
      </c>
    </row>
    <row r="100" spans="1:20" x14ac:dyDescent="0.35">
      <c r="A100" t="s">
        <v>656</v>
      </c>
      <c r="B100" s="6" t="s">
        <v>506</v>
      </c>
      <c r="C100" s="6">
        <v>36</v>
      </c>
      <c r="D100" s="6" t="s">
        <v>46</v>
      </c>
      <c r="E100" s="6" t="s">
        <v>79</v>
      </c>
      <c r="F100" s="6" t="s">
        <v>59</v>
      </c>
      <c r="G100" s="6" t="s">
        <v>60</v>
      </c>
      <c r="H100" s="6" t="s">
        <v>42</v>
      </c>
      <c r="I100" s="8" t="s">
        <v>244</v>
      </c>
      <c r="J100" s="8">
        <v>437253.24</v>
      </c>
      <c r="K100" t="s">
        <v>245</v>
      </c>
      <c r="L100" s="6" t="s">
        <v>246</v>
      </c>
      <c r="M100" s="11">
        <v>45414</v>
      </c>
      <c r="N100" s="13" t="str">
        <f t="shared" si="3"/>
        <v>Thu</v>
      </c>
      <c r="O100" s="13" t="str">
        <f t="shared" si="4"/>
        <v>May</v>
      </c>
      <c r="P100" s="13" t="str">
        <f t="shared" si="5"/>
        <v>2024</v>
      </c>
      <c r="Q100" s="6">
        <v>4.5</v>
      </c>
      <c r="R100" s="6">
        <v>26</v>
      </c>
      <c r="S100" s="6" t="s">
        <v>53</v>
      </c>
      <c r="T100" s="6">
        <v>38</v>
      </c>
    </row>
    <row r="101" spans="1:20" x14ac:dyDescent="0.35">
      <c r="A101" t="s">
        <v>657</v>
      </c>
      <c r="B101" s="6" t="s">
        <v>507</v>
      </c>
      <c r="C101" s="6">
        <v>36</v>
      </c>
      <c r="D101" s="6" t="s">
        <v>46</v>
      </c>
      <c r="E101" s="6" t="s">
        <v>75</v>
      </c>
      <c r="F101" s="6" t="s">
        <v>48</v>
      </c>
      <c r="G101" s="6" t="s">
        <v>27</v>
      </c>
      <c r="H101" s="6" t="s">
        <v>555</v>
      </c>
      <c r="I101" s="8">
        <v>688948.99</v>
      </c>
      <c r="J101" s="8">
        <v>688948.99</v>
      </c>
      <c r="K101" t="s">
        <v>247</v>
      </c>
      <c r="L101" s="6" t="s">
        <v>248</v>
      </c>
      <c r="M101" s="11">
        <v>40793</v>
      </c>
      <c r="N101" s="13" t="str">
        <f t="shared" si="3"/>
        <v>Wed</v>
      </c>
      <c r="O101" s="13" t="str">
        <f t="shared" si="4"/>
        <v>Sept</v>
      </c>
      <c r="P101" s="13" t="str">
        <f t="shared" si="5"/>
        <v>2011</v>
      </c>
      <c r="Q101" s="6">
        <v>2.4</v>
      </c>
      <c r="R101" s="6">
        <v>12</v>
      </c>
      <c r="S101" s="6" t="s">
        <v>555</v>
      </c>
      <c r="T101" s="6">
        <v>73</v>
      </c>
    </row>
    <row r="102" spans="1:20" x14ac:dyDescent="0.35">
      <c r="A102" t="s">
        <v>658</v>
      </c>
      <c r="B102" s="6" t="s">
        <v>249</v>
      </c>
      <c r="C102" s="6">
        <v>25</v>
      </c>
      <c r="D102" s="6" t="s">
        <v>46</v>
      </c>
      <c r="E102" s="6" t="s">
        <v>79</v>
      </c>
      <c r="F102" s="6" t="s">
        <v>34</v>
      </c>
      <c r="G102" s="6" t="s">
        <v>68</v>
      </c>
      <c r="H102" s="6" t="s">
        <v>32</v>
      </c>
      <c r="I102" s="8">
        <v>433482.76</v>
      </c>
      <c r="J102" s="8">
        <v>433482.76</v>
      </c>
      <c r="K102" t="s">
        <v>250</v>
      </c>
      <c r="L102" s="6" t="s">
        <v>251</v>
      </c>
      <c r="M102" s="11">
        <v>41814</v>
      </c>
      <c r="N102" s="13" t="str">
        <f t="shared" si="3"/>
        <v>Tue</v>
      </c>
      <c r="O102" s="13" t="str">
        <f t="shared" si="4"/>
        <v>Jun</v>
      </c>
      <c r="P102" s="13" t="str">
        <f t="shared" si="5"/>
        <v>2014</v>
      </c>
      <c r="Q102" s="6">
        <v>1.8</v>
      </c>
      <c r="R102" s="6">
        <v>24</v>
      </c>
      <c r="S102" s="6" t="s">
        <v>53</v>
      </c>
      <c r="T102" s="6" t="s">
        <v>555</v>
      </c>
    </row>
    <row r="103" spans="1:20" x14ac:dyDescent="0.35">
      <c r="A103" t="s">
        <v>659</v>
      </c>
      <c r="B103" s="6" t="s">
        <v>508</v>
      </c>
      <c r="C103" s="6">
        <v>58</v>
      </c>
      <c r="D103" s="6" t="s">
        <v>46</v>
      </c>
      <c r="E103" s="6" t="s">
        <v>37</v>
      </c>
      <c r="F103" s="6" t="s">
        <v>17</v>
      </c>
      <c r="G103" s="6" t="s">
        <v>31</v>
      </c>
      <c r="H103" s="6" t="s">
        <v>555</v>
      </c>
      <c r="I103" s="8">
        <v>560577.29</v>
      </c>
      <c r="J103" s="8">
        <v>560577.29</v>
      </c>
      <c r="K103" t="s">
        <v>252</v>
      </c>
      <c r="L103" s="6" t="s">
        <v>253</v>
      </c>
      <c r="M103" s="11">
        <v>44714</v>
      </c>
      <c r="N103" s="13" t="str">
        <f t="shared" si="3"/>
        <v>Thu</v>
      </c>
      <c r="O103" s="13" t="str">
        <f t="shared" si="4"/>
        <v>Jun</v>
      </c>
      <c r="P103" s="13" t="str">
        <f t="shared" si="5"/>
        <v>2022</v>
      </c>
      <c r="Q103" s="6">
        <v>9.1</v>
      </c>
      <c r="R103" s="6">
        <v>33</v>
      </c>
      <c r="S103" s="6" t="s">
        <v>29</v>
      </c>
      <c r="T103" s="6">
        <v>15</v>
      </c>
    </row>
    <row r="104" spans="1:20" x14ac:dyDescent="0.35">
      <c r="A104" t="s">
        <v>660</v>
      </c>
      <c r="B104" s="6" t="s">
        <v>509</v>
      </c>
      <c r="C104" s="6">
        <v>35</v>
      </c>
      <c r="D104" s="6" t="s">
        <v>555</v>
      </c>
      <c r="E104" s="6" t="s">
        <v>71</v>
      </c>
      <c r="F104" s="6" t="s">
        <v>48</v>
      </c>
      <c r="G104" s="6" t="s">
        <v>60</v>
      </c>
      <c r="H104" s="6" t="s">
        <v>21</v>
      </c>
      <c r="I104" s="8">
        <v>384829.93</v>
      </c>
      <c r="J104" s="8">
        <v>384829.93</v>
      </c>
      <c r="K104" t="s">
        <v>254</v>
      </c>
      <c r="L104" s="6" t="s">
        <v>255</v>
      </c>
      <c r="M104" s="11">
        <v>42798</v>
      </c>
      <c r="N104" s="13" t="str">
        <f t="shared" si="3"/>
        <v>Sat</v>
      </c>
      <c r="O104" s="13" t="str">
        <f t="shared" si="4"/>
        <v>Mar</v>
      </c>
      <c r="P104" s="13" t="str">
        <f t="shared" si="5"/>
        <v>2017</v>
      </c>
      <c r="Q104" s="6">
        <v>6.3</v>
      </c>
      <c r="R104" s="6">
        <v>9</v>
      </c>
      <c r="S104" s="6" t="s">
        <v>555</v>
      </c>
      <c r="T104" s="6">
        <v>97</v>
      </c>
    </row>
    <row r="105" spans="1:20" x14ac:dyDescent="0.35">
      <c r="A105" t="s">
        <v>661</v>
      </c>
      <c r="B105" s="6" t="s">
        <v>256</v>
      </c>
      <c r="C105" s="6">
        <v>40</v>
      </c>
      <c r="D105" s="6" t="s">
        <v>46</v>
      </c>
      <c r="E105" s="6" t="s">
        <v>47</v>
      </c>
      <c r="F105" s="6" t="s">
        <v>17</v>
      </c>
      <c r="G105" s="6" t="s">
        <v>20</v>
      </c>
      <c r="H105" s="6" t="s">
        <v>82</v>
      </c>
      <c r="I105" s="8">
        <v>712083.37</v>
      </c>
      <c r="J105" s="8">
        <v>712083.37</v>
      </c>
      <c r="K105" t="s">
        <v>257</v>
      </c>
      <c r="L105" s="6" t="s">
        <v>258</v>
      </c>
      <c r="M105" s="11" t="s">
        <v>555</v>
      </c>
      <c r="N105" s="13" t="str">
        <f t="shared" si="3"/>
        <v>N/A</v>
      </c>
      <c r="O105" s="13" t="str">
        <f t="shared" si="4"/>
        <v>N/A</v>
      </c>
      <c r="P105" s="13" t="str">
        <f t="shared" si="5"/>
        <v>N/A</v>
      </c>
      <c r="Q105" s="6">
        <v>1.2</v>
      </c>
      <c r="R105" s="6">
        <v>17</v>
      </c>
      <c r="S105" s="6" t="s">
        <v>53</v>
      </c>
      <c r="T105" s="6">
        <v>10</v>
      </c>
    </row>
    <row r="106" spans="1:20" x14ac:dyDescent="0.35">
      <c r="A106" t="s">
        <v>662</v>
      </c>
      <c r="B106" s="6" t="s">
        <v>259</v>
      </c>
      <c r="C106" s="6">
        <v>50</v>
      </c>
      <c r="D106" s="6" t="s">
        <v>15</v>
      </c>
      <c r="E106" s="6" t="s">
        <v>25</v>
      </c>
      <c r="F106" s="6" t="s">
        <v>41</v>
      </c>
      <c r="G106" s="6" t="s">
        <v>64</v>
      </c>
      <c r="H106" s="6" t="s">
        <v>21</v>
      </c>
      <c r="J106" s="8">
        <v>0</v>
      </c>
      <c r="K106" t="s">
        <v>260</v>
      </c>
      <c r="L106" s="6" t="s">
        <v>261</v>
      </c>
      <c r="M106" s="11">
        <v>44410</v>
      </c>
      <c r="N106" s="13" t="str">
        <f t="shared" si="3"/>
        <v>Mon</v>
      </c>
      <c r="O106" s="13" t="str">
        <f t="shared" si="4"/>
        <v>Aug</v>
      </c>
      <c r="P106" s="13" t="str">
        <f t="shared" si="5"/>
        <v>2021</v>
      </c>
      <c r="Q106" s="6">
        <v>1.3</v>
      </c>
      <c r="R106" s="6">
        <v>3</v>
      </c>
      <c r="S106" s="6" t="s">
        <v>53</v>
      </c>
      <c r="T106" s="6" t="s">
        <v>555</v>
      </c>
    </row>
    <row r="107" spans="1:20" x14ac:dyDescent="0.35">
      <c r="A107" t="s">
        <v>663</v>
      </c>
      <c r="B107" s="6" t="s">
        <v>510</v>
      </c>
      <c r="C107" s="6">
        <v>54</v>
      </c>
      <c r="D107" s="6" t="s">
        <v>46</v>
      </c>
      <c r="E107" s="6" t="s">
        <v>54</v>
      </c>
      <c r="F107" s="6" t="s">
        <v>34</v>
      </c>
      <c r="G107" s="6" t="s">
        <v>27</v>
      </c>
      <c r="H107" s="6" t="s">
        <v>42</v>
      </c>
      <c r="I107" s="8">
        <v>570445.54</v>
      </c>
      <c r="J107" s="8">
        <v>570445.54</v>
      </c>
      <c r="K107" t="s">
        <v>262</v>
      </c>
      <c r="L107" s="6" t="s">
        <v>555</v>
      </c>
      <c r="M107" s="11">
        <v>44695</v>
      </c>
      <c r="N107" s="13" t="str">
        <f t="shared" si="3"/>
        <v>Sat</v>
      </c>
      <c r="O107" s="13" t="str">
        <f t="shared" si="4"/>
        <v>May</v>
      </c>
      <c r="P107" s="13" t="str">
        <f t="shared" si="5"/>
        <v>2022</v>
      </c>
      <c r="Q107" s="6">
        <v>8.6999999999999993</v>
      </c>
      <c r="R107" s="6">
        <v>17</v>
      </c>
      <c r="S107" s="6" t="s">
        <v>555</v>
      </c>
      <c r="T107" s="6" t="s">
        <v>555</v>
      </c>
    </row>
    <row r="108" spans="1:20" x14ac:dyDescent="0.35">
      <c r="A108" t="s">
        <v>664</v>
      </c>
      <c r="B108" s="6" t="s">
        <v>511</v>
      </c>
      <c r="C108" s="6" t="s">
        <v>555</v>
      </c>
      <c r="D108" s="6" t="s">
        <v>555</v>
      </c>
      <c r="E108" s="6" t="s">
        <v>555</v>
      </c>
      <c r="F108" s="6" t="s">
        <v>57</v>
      </c>
      <c r="G108" s="6" t="s">
        <v>60</v>
      </c>
      <c r="H108" s="6" t="s">
        <v>42</v>
      </c>
      <c r="I108" s="8">
        <v>261721.12</v>
      </c>
      <c r="J108" s="8">
        <v>261721.12</v>
      </c>
      <c r="K108" t="s">
        <v>263</v>
      </c>
      <c r="L108" s="6" t="s">
        <v>264</v>
      </c>
      <c r="M108" s="11">
        <v>43035</v>
      </c>
      <c r="N108" s="13" t="str">
        <f t="shared" si="3"/>
        <v>Fri</v>
      </c>
      <c r="O108" s="13" t="str">
        <f t="shared" si="4"/>
        <v>Oct</v>
      </c>
      <c r="P108" s="13" t="str">
        <f t="shared" si="5"/>
        <v>2017</v>
      </c>
      <c r="Q108" s="6">
        <v>6.8</v>
      </c>
      <c r="R108" s="6">
        <v>6</v>
      </c>
      <c r="S108" s="6" t="s">
        <v>29</v>
      </c>
      <c r="T108" s="6">
        <v>64</v>
      </c>
    </row>
    <row r="109" spans="1:20" x14ac:dyDescent="0.35">
      <c r="A109" t="s">
        <v>665</v>
      </c>
      <c r="B109" s="6" t="s">
        <v>265</v>
      </c>
      <c r="C109" s="6">
        <v>41</v>
      </c>
      <c r="D109" s="6" t="s">
        <v>15</v>
      </c>
      <c r="E109" s="6" t="s">
        <v>63</v>
      </c>
      <c r="F109" s="6" t="s">
        <v>26</v>
      </c>
      <c r="G109" s="6" t="s">
        <v>27</v>
      </c>
      <c r="H109" s="6" t="s">
        <v>42</v>
      </c>
      <c r="I109" s="8">
        <v>253017.5</v>
      </c>
      <c r="J109" s="8">
        <v>253017.5</v>
      </c>
      <c r="K109" t="s">
        <v>266</v>
      </c>
      <c r="L109" s="6" t="s">
        <v>555</v>
      </c>
      <c r="M109" s="11">
        <v>41325</v>
      </c>
      <c r="N109" s="13" t="str">
        <f t="shared" si="3"/>
        <v>Wed</v>
      </c>
      <c r="O109" s="13" t="str">
        <f t="shared" si="4"/>
        <v>Feb</v>
      </c>
      <c r="P109" s="13" t="str">
        <f t="shared" si="5"/>
        <v>2013</v>
      </c>
      <c r="Q109" s="6">
        <v>4.0999999999999996</v>
      </c>
      <c r="R109" s="6">
        <v>30</v>
      </c>
      <c r="S109" s="6" t="s">
        <v>29</v>
      </c>
      <c r="T109" s="6">
        <v>30</v>
      </c>
    </row>
    <row r="110" spans="1:20" x14ac:dyDescent="0.35">
      <c r="A110" t="s">
        <v>666</v>
      </c>
      <c r="B110" s="6" t="s">
        <v>267</v>
      </c>
      <c r="C110" s="6">
        <v>52</v>
      </c>
      <c r="D110" s="6" t="s">
        <v>46</v>
      </c>
      <c r="E110" s="6" t="s">
        <v>54</v>
      </c>
      <c r="F110" s="6" t="s">
        <v>30</v>
      </c>
      <c r="G110" s="6" t="s">
        <v>31</v>
      </c>
      <c r="H110" s="6" t="s">
        <v>42</v>
      </c>
      <c r="I110" s="8">
        <v>662007.59</v>
      </c>
      <c r="J110" s="8">
        <v>662007.59</v>
      </c>
      <c r="K110" t="s">
        <v>268</v>
      </c>
      <c r="L110" s="6" t="s">
        <v>269</v>
      </c>
      <c r="M110" s="11">
        <v>43089</v>
      </c>
      <c r="N110" s="13" t="str">
        <f t="shared" si="3"/>
        <v>Wed</v>
      </c>
      <c r="O110" s="13" t="str">
        <f t="shared" si="4"/>
        <v>Dec</v>
      </c>
      <c r="P110" s="13" t="str">
        <f t="shared" si="5"/>
        <v>2017</v>
      </c>
      <c r="Q110" s="6">
        <v>1.5</v>
      </c>
      <c r="R110" s="6">
        <v>4</v>
      </c>
      <c r="S110" s="6" t="s">
        <v>53</v>
      </c>
      <c r="T110" s="6">
        <v>87</v>
      </c>
    </row>
    <row r="111" spans="1:20" x14ac:dyDescent="0.35">
      <c r="A111" t="s">
        <v>667</v>
      </c>
      <c r="B111" s="6" t="s">
        <v>270</v>
      </c>
      <c r="C111" s="6">
        <v>31</v>
      </c>
      <c r="D111" s="6" t="s">
        <v>46</v>
      </c>
      <c r="E111" s="6" t="s">
        <v>54</v>
      </c>
      <c r="F111" s="6" t="s">
        <v>34</v>
      </c>
      <c r="G111" s="6" t="s">
        <v>27</v>
      </c>
      <c r="H111" s="6" t="s">
        <v>42</v>
      </c>
      <c r="I111" s="8">
        <v>374618.13</v>
      </c>
      <c r="J111" s="8">
        <v>374618.13</v>
      </c>
      <c r="K111" t="s">
        <v>271</v>
      </c>
      <c r="L111" s="6" t="s">
        <v>272</v>
      </c>
      <c r="M111" s="11">
        <v>40841</v>
      </c>
      <c r="N111" s="13" t="str">
        <f t="shared" si="3"/>
        <v>Tue</v>
      </c>
      <c r="O111" s="13" t="str">
        <f t="shared" si="4"/>
        <v>Oct</v>
      </c>
      <c r="P111" s="13" t="str">
        <f t="shared" si="5"/>
        <v>2011</v>
      </c>
      <c r="Q111" s="6">
        <v>5.4</v>
      </c>
      <c r="R111" s="6">
        <v>27</v>
      </c>
      <c r="S111" s="6" t="s">
        <v>53</v>
      </c>
      <c r="T111" s="6">
        <v>48</v>
      </c>
    </row>
    <row r="112" spans="1:20" x14ac:dyDescent="0.35">
      <c r="A112" t="s">
        <v>668</v>
      </c>
      <c r="B112" s="6" t="s">
        <v>273</v>
      </c>
      <c r="C112" s="6">
        <v>45</v>
      </c>
      <c r="D112" s="6" t="s">
        <v>15</v>
      </c>
      <c r="E112" s="6" t="s">
        <v>54</v>
      </c>
      <c r="F112" s="6" t="s">
        <v>30</v>
      </c>
      <c r="G112" s="6" t="s">
        <v>64</v>
      </c>
      <c r="H112" s="6" t="s">
        <v>82</v>
      </c>
      <c r="I112" s="8">
        <v>624930.37</v>
      </c>
      <c r="J112" s="8">
        <v>624930.37</v>
      </c>
      <c r="K112" t="s">
        <v>274</v>
      </c>
      <c r="L112" s="6" t="s">
        <v>275</v>
      </c>
      <c r="M112" s="11" t="s">
        <v>555</v>
      </c>
      <c r="N112" s="13" t="str">
        <f t="shared" si="3"/>
        <v>N/A</v>
      </c>
      <c r="O112" s="13" t="str">
        <f t="shared" si="4"/>
        <v>N/A</v>
      </c>
      <c r="P112" s="13" t="str">
        <f t="shared" si="5"/>
        <v>N/A</v>
      </c>
      <c r="Q112" s="6">
        <v>4.9000000000000004</v>
      </c>
      <c r="R112" s="6">
        <v>31</v>
      </c>
      <c r="S112" s="6" t="s">
        <v>53</v>
      </c>
      <c r="T112" s="6">
        <v>91</v>
      </c>
    </row>
    <row r="113" spans="1:20" x14ac:dyDescent="0.35">
      <c r="A113" t="s">
        <v>669</v>
      </c>
      <c r="B113" s="6" t="s">
        <v>512</v>
      </c>
      <c r="C113" s="6" t="s">
        <v>555</v>
      </c>
      <c r="D113" s="6" t="s">
        <v>15</v>
      </c>
      <c r="E113" s="6" t="s">
        <v>75</v>
      </c>
      <c r="F113" s="6" t="s">
        <v>41</v>
      </c>
      <c r="G113" s="6" t="s">
        <v>31</v>
      </c>
      <c r="H113" s="6" t="s">
        <v>21</v>
      </c>
      <c r="I113" s="8">
        <v>443336.16</v>
      </c>
      <c r="J113" s="8">
        <v>443336.16</v>
      </c>
      <c r="K113" t="s">
        <v>276</v>
      </c>
      <c r="L113" s="6" t="s">
        <v>277</v>
      </c>
      <c r="M113" s="11">
        <v>44559</v>
      </c>
      <c r="N113" s="13" t="str">
        <f t="shared" si="3"/>
        <v>Wed</v>
      </c>
      <c r="O113" s="13" t="str">
        <f t="shared" si="4"/>
        <v>Dec</v>
      </c>
      <c r="P113" s="13" t="str">
        <f t="shared" si="5"/>
        <v>2021</v>
      </c>
      <c r="Q113" s="6">
        <v>5.9</v>
      </c>
      <c r="R113" s="6">
        <v>0</v>
      </c>
      <c r="S113" s="6" t="s">
        <v>29</v>
      </c>
      <c r="T113" s="6">
        <v>52</v>
      </c>
    </row>
    <row r="114" spans="1:20" x14ac:dyDescent="0.35">
      <c r="A114" t="s">
        <v>670</v>
      </c>
      <c r="B114" s="6" t="s">
        <v>161</v>
      </c>
      <c r="C114" s="6">
        <v>28</v>
      </c>
      <c r="D114" s="6" t="s">
        <v>46</v>
      </c>
      <c r="E114" s="6" t="s">
        <v>555</v>
      </c>
      <c r="F114" s="6" t="s">
        <v>30</v>
      </c>
      <c r="G114" s="6" t="s">
        <v>31</v>
      </c>
      <c r="H114" s="6" t="s">
        <v>21</v>
      </c>
      <c r="I114" s="8">
        <v>283548.87</v>
      </c>
      <c r="J114" s="8">
        <v>283548.87</v>
      </c>
      <c r="K114" t="s">
        <v>162</v>
      </c>
      <c r="L114" s="6" t="s">
        <v>278</v>
      </c>
      <c r="M114" s="11">
        <v>43111</v>
      </c>
      <c r="N114" s="13" t="str">
        <f t="shared" si="3"/>
        <v>Thu</v>
      </c>
      <c r="O114" s="13" t="str">
        <f t="shared" si="4"/>
        <v>Jan</v>
      </c>
      <c r="P114" s="13" t="str">
        <f t="shared" si="5"/>
        <v>2018</v>
      </c>
      <c r="Q114" s="6">
        <v>8.5</v>
      </c>
      <c r="R114" s="6">
        <v>5</v>
      </c>
      <c r="S114" s="6" t="s">
        <v>29</v>
      </c>
      <c r="T114" s="6">
        <v>10</v>
      </c>
    </row>
    <row r="115" spans="1:20" x14ac:dyDescent="0.35">
      <c r="A115" t="s">
        <v>671</v>
      </c>
      <c r="B115" s="6" t="s">
        <v>457</v>
      </c>
      <c r="C115" s="6">
        <v>38</v>
      </c>
      <c r="D115" s="6" t="s">
        <v>555</v>
      </c>
      <c r="E115" s="6" t="s">
        <v>54</v>
      </c>
      <c r="F115" s="6" t="s">
        <v>34</v>
      </c>
      <c r="G115" s="6" t="s">
        <v>60</v>
      </c>
      <c r="H115" s="6" t="s">
        <v>42</v>
      </c>
      <c r="I115" s="8">
        <v>205785.3</v>
      </c>
      <c r="J115" s="8">
        <v>205785.3</v>
      </c>
      <c r="K115" t="s">
        <v>73</v>
      </c>
      <c r="L115" s="6" t="s">
        <v>279</v>
      </c>
      <c r="M115" s="11">
        <v>40848</v>
      </c>
      <c r="N115" s="13" t="str">
        <f t="shared" si="3"/>
        <v>Tue</v>
      </c>
      <c r="O115" s="13" t="str">
        <f t="shared" si="4"/>
        <v>Nov</v>
      </c>
      <c r="P115" s="13" t="str">
        <f t="shared" si="5"/>
        <v>2011</v>
      </c>
      <c r="Q115" s="6">
        <v>2</v>
      </c>
      <c r="R115" s="6">
        <v>24</v>
      </c>
      <c r="S115" s="6" t="s">
        <v>53</v>
      </c>
      <c r="T115" s="6">
        <v>65</v>
      </c>
    </row>
    <row r="116" spans="1:20" x14ac:dyDescent="0.35">
      <c r="A116" t="s">
        <v>672</v>
      </c>
      <c r="B116" s="6" t="s">
        <v>135</v>
      </c>
      <c r="C116" s="6">
        <v>25</v>
      </c>
      <c r="D116" s="6" t="s">
        <v>15</v>
      </c>
      <c r="E116" s="6" t="s">
        <v>52</v>
      </c>
      <c r="F116" s="6" t="s">
        <v>34</v>
      </c>
      <c r="G116" s="6" t="s">
        <v>60</v>
      </c>
      <c r="H116" s="6" t="s">
        <v>42</v>
      </c>
      <c r="I116" s="8">
        <v>154673.44</v>
      </c>
      <c r="J116" s="8">
        <v>154673.44</v>
      </c>
      <c r="K116" t="s">
        <v>136</v>
      </c>
      <c r="L116" s="6" t="s">
        <v>280</v>
      </c>
      <c r="M116" s="11">
        <v>43116</v>
      </c>
      <c r="N116" s="13" t="str">
        <f t="shared" si="3"/>
        <v>Tue</v>
      </c>
      <c r="O116" s="13" t="str">
        <f t="shared" si="4"/>
        <v>Jan</v>
      </c>
      <c r="P116" s="13" t="str">
        <f t="shared" si="5"/>
        <v>2018</v>
      </c>
      <c r="Q116" s="6">
        <v>7.3</v>
      </c>
      <c r="R116" s="6">
        <v>14</v>
      </c>
      <c r="S116" s="6" t="s">
        <v>29</v>
      </c>
      <c r="T116" s="6">
        <v>52</v>
      </c>
    </row>
    <row r="117" spans="1:20" x14ac:dyDescent="0.35">
      <c r="A117" t="s">
        <v>673</v>
      </c>
      <c r="B117" s="6" t="s">
        <v>281</v>
      </c>
      <c r="C117" s="6">
        <v>37</v>
      </c>
      <c r="D117" s="6" t="s">
        <v>46</v>
      </c>
      <c r="E117" s="6" t="s">
        <v>52</v>
      </c>
      <c r="F117" s="6" t="s">
        <v>26</v>
      </c>
      <c r="G117" s="6" t="s">
        <v>20</v>
      </c>
      <c r="H117" s="6" t="s">
        <v>42</v>
      </c>
      <c r="I117" s="8">
        <v>541811.21</v>
      </c>
      <c r="J117" s="8">
        <v>541811.21</v>
      </c>
      <c r="K117" t="s">
        <v>282</v>
      </c>
      <c r="L117" s="6" t="s">
        <v>555</v>
      </c>
      <c r="M117" s="11">
        <v>41464</v>
      </c>
      <c r="N117" s="13" t="str">
        <f t="shared" si="3"/>
        <v>Tue</v>
      </c>
      <c r="O117" s="13" t="str">
        <f t="shared" si="4"/>
        <v>Jul</v>
      </c>
      <c r="P117" s="13" t="str">
        <f t="shared" si="5"/>
        <v>2013</v>
      </c>
      <c r="Q117" s="6">
        <v>5.6</v>
      </c>
      <c r="R117" s="6">
        <v>15</v>
      </c>
      <c r="S117" s="6" t="s">
        <v>53</v>
      </c>
      <c r="T117" s="6">
        <v>45</v>
      </c>
    </row>
    <row r="118" spans="1:20" x14ac:dyDescent="0.35">
      <c r="A118" t="s">
        <v>674</v>
      </c>
      <c r="B118" s="6" t="s">
        <v>283</v>
      </c>
      <c r="C118" s="6" t="s">
        <v>555</v>
      </c>
      <c r="D118" s="6" t="s">
        <v>46</v>
      </c>
      <c r="E118" s="6" t="s">
        <v>71</v>
      </c>
      <c r="F118" s="6" t="s">
        <v>57</v>
      </c>
      <c r="G118" s="6" t="s">
        <v>68</v>
      </c>
      <c r="H118" s="6" t="s">
        <v>82</v>
      </c>
      <c r="I118" s="8">
        <v>370476.55</v>
      </c>
      <c r="J118" s="8">
        <v>370476.55</v>
      </c>
      <c r="K118" t="s">
        <v>61</v>
      </c>
      <c r="L118" s="6" t="s">
        <v>555</v>
      </c>
      <c r="M118" s="11">
        <v>42674</v>
      </c>
      <c r="N118" s="13" t="str">
        <f t="shared" si="3"/>
        <v>Mon</v>
      </c>
      <c r="O118" s="13" t="str">
        <f t="shared" si="4"/>
        <v>Oct</v>
      </c>
      <c r="P118" s="13" t="str">
        <f t="shared" si="5"/>
        <v>2016</v>
      </c>
      <c r="Q118" s="6">
        <v>6</v>
      </c>
      <c r="R118" s="6">
        <v>23</v>
      </c>
      <c r="S118" s="6" t="s">
        <v>29</v>
      </c>
      <c r="T118" s="6">
        <v>66</v>
      </c>
    </row>
    <row r="119" spans="1:20" x14ac:dyDescent="0.35">
      <c r="A119" t="s">
        <v>675</v>
      </c>
      <c r="B119" s="6" t="s">
        <v>284</v>
      </c>
      <c r="C119" s="6">
        <v>40</v>
      </c>
      <c r="D119" s="6" t="s">
        <v>46</v>
      </c>
      <c r="E119" s="6" t="s">
        <v>52</v>
      </c>
      <c r="F119" s="6" t="s">
        <v>57</v>
      </c>
      <c r="G119" s="6" t="s">
        <v>60</v>
      </c>
      <c r="H119" s="6" t="s">
        <v>21</v>
      </c>
      <c r="I119" s="8">
        <v>156552.01</v>
      </c>
      <c r="J119" s="8">
        <v>156552.01</v>
      </c>
      <c r="K119" t="s">
        <v>285</v>
      </c>
      <c r="L119" s="6" t="s">
        <v>286</v>
      </c>
      <c r="M119" s="11">
        <v>42262</v>
      </c>
      <c r="N119" s="13" t="str">
        <f t="shared" si="3"/>
        <v>Tue</v>
      </c>
      <c r="O119" s="13" t="str">
        <f t="shared" si="4"/>
        <v>Sept</v>
      </c>
      <c r="P119" s="13" t="str">
        <f t="shared" si="5"/>
        <v>2015</v>
      </c>
      <c r="Q119" s="6">
        <v>7.8</v>
      </c>
      <c r="R119" s="6">
        <v>7</v>
      </c>
      <c r="S119" s="6" t="s">
        <v>53</v>
      </c>
      <c r="T119" s="6">
        <v>59</v>
      </c>
    </row>
    <row r="120" spans="1:20" x14ac:dyDescent="0.35">
      <c r="A120" t="s">
        <v>676</v>
      </c>
      <c r="B120" s="6" t="s">
        <v>287</v>
      </c>
      <c r="C120" s="6">
        <v>55</v>
      </c>
      <c r="D120" s="6" t="s">
        <v>555</v>
      </c>
      <c r="E120" s="6" t="s">
        <v>47</v>
      </c>
      <c r="F120" s="6" t="s">
        <v>59</v>
      </c>
      <c r="G120" s="6" t="s">
        <v>20</v>
      </c>
      <c r="H120" s="6" t="s">
        <v>42</v>
      </c>
      <c r="I120" s="8">
        <v>391623.47</v>
      </c>
      <c r="J120" s="8">
        <v>391623.47</v>
      </c>
      <c r="K120" t="s">
        <v>288</v>
      </c>
      <c r="L120" s="6" t="s">
        <v>289</v>
      </c>
      <c r="M120" s="11">
        <v>41230</v>
      </c>
      <c r="N120" s="13" t="str">
        <f t="shared" si="3"/>
        <v>Sat</v>
      </c>
      <c r="O120" s="13" t="str">
        <f t="shared" si="4"/>
        <v>Nov</v>
      </c>
      <c r="P120" s="13" t="str">
        <f t="shared" si="5"/>
        <v>2012</v>
      </c>
      <c r="Q120" s="6">
        <v>8.1999999999999993</v>
      </c>
      <c r="R120" s="6">
        <v>32</v>
      </c>
      <c r="S120" s="6" t="s">
        <v>29</v>
      </c>
      <c r="T120" s="6">
        <v>31</v>
      </c>
    </row>
    <row r="121" spans="1:20" x14ac:dyDescent="0.35">
      <c r="A121" t="s">
        <v>677</v>
      </c>
      <c r="B121" s="6" t="s">
        <v>452</v>
      </c>
      <c r="C121" s="6">
        <v>35</v>
      </c>
      <c r="D121" s="6" t="s">
        <v>555</v>
      </c>
      <c r="E121" s="6" t="s">
        <v>37</v>
      </c>
      <c r="F121" s="6" t="s">
        <v>48</v>
      </c>
      <c r="G121" s="6" t="s">
        <v>64</v>
      </c>
      <c r="H121" s="6" t="s">
        <v>32</v>
      </c>
      <c r="I121" s="8">
        <v>328611.38</v>
      </c>
      <c r="J121" s="8">
        <v>328611.38</v>
      </c>
      <c r="K121" t="s">
        <v>55</v>
      </c>
      <c r="L121" s="6" t="s">
        <v>555</v>
      </c>
      <c r="M121" s="11">
        <v>45396</v>
      </c>
      <c r="N121" s="13" t="str">
        <f t="shared" si="3"/>
        <v>Sun</v>
      </c>
      <c r="O121" s="13" t="str">
        <f t="shared" si="4"/>
        <v>Apr</v>
      </c>
      <c r="P121" s="13" t="str">
        <f t="shared" si="5"/>
        <v>2024</v>
      </c>
      <c r="Q121" s="6" t="s">
        <v>555</v>
      </c>
      <c r="R121" s="6" t="s">
        <v>555</v>
      </c>
      <c r="S121" s="6" t="s">
        <v>53</v>
      </c>
      <c r="T121" s="6" t="s">
        <v>555</v>
      </c>
    </row>
    <row r="122" spans="1:20" x14ac:dyDescent="0.35">
      <c r="A122" t="s">
        <v>678</v>
      </c>
      <c r="B122" s="6" t="s">
        <v>513</v>
      </c>
      <c r="C122" s="6">
        <v>40</v>
      </c>
      <c r="D122" s="6" t="s">
        <v>46</v>
      </c>
      <c r="E122" s="6" t="s">
        <v>25</v>
      </c>
      <c r="F122" s="6" t="s">
        <v>57</v>
      </c>
      <c r="G122" s="6" t="s">
        <v>20</v>
      </c>
      <c r="H122" s="6" t="s">
        <v>42</v>
      </c>
      <c r="I122" s="8">
        <v>124663.63</v>
      </c>
      <c r="J122" s="8">
        <v>124663.63</v>
      </c>
      <c r="K122" t="s">
        <v>290</v>
      </c>
      <c r="L122" s="6" t="s">
        <v>291</v>
      </c>
      <c r="M122" s="11">
        <v>45226</v>
      </c>
      <c r="N122" s="13" t="str">
        <f t="shared" si="3"/>
        <v>Fri</v>
      </c>
      <c r="O122" s="13" t="str">
        <f t="shared" si="4"/>
        <v>Oct</v>
      </c>
      <c r="P122" s="13" t="str">
        <f t="shared" si="5"/>
        <v>2023</v>
      </c>
      <c r="Q122" s="6">
        <v>9.3000000000000007</v>
      </c>
      <c r="R122" s="6">
        <v>20</v>
      </c>
      <c r="S122" s="6" t="s">
        <v>29</v>
      </c>
      <c r="T122" s="6" t="s">
        <v>555</v>
      </c>
    </row>
    <row r="123" spans="1:20" x14ac:dyDescent="0.35">
      <c r="A123" t="s">
        <v>679</v>
      </c>
      <c r="B123" s="6" t="s">
        <v>514</v>
      </c>
      <c r="C123" s="6">
        <v>36</v>
      </c>
      <c r="D123" s="6" t="s">
        <v>555</v>
      </c>
      <c r="E123" s="6" t="s">
        <v>79</v>
      </c>
      <c r="F123" s="6" t="s">
        <v>48</v>
      </c>
      <c r="G123" s="6" t="s">
        <v>64</v>
      </c>
      <c r="H123" s="6" t="s">
        <v>32</v>
      </c>
      <c r="I123" s="8">
        <v>546295.31999999995</v>
      </c>
      <c r="J123" s="8">
        <v>546295.31999999995</v>
      </c>
      <c r="K123" t="s">
        <v>292</v>
      </c>
      <c r="L123" s="6" t="s">
        <v>293</v>
      </c>
      <c r="M123" s="11">
        <v>43855</v>
      </c>
      <c r="N123" s="13" t="str">
        <f t="shared" si="3"/>
        <v>Sat</v>
      </c>
      <c r="O123" s="13" t="str">
        <f t="shared" si="4"/>
        <v>Jan</v>
      </c>
      <c r="P123" s="13" t="str">
        <f t="shared" si="5"/>
        <v>2020</v>
      </c>
      <c r="Q123" s="6">
        <v>2.2000000000000002</v>
      </c>
      <c r="R123" s="6">
        <v>21</v>
      </c>
      <c r="S123" s="6" t="s">
        <v>53</v>
      </c>
      <c r="T123" s="6" t="s">
        <v>555</v>
      </c>
    </row>
    <row r="124" spans="1:20" x14ac:dyDescent="0.35">
      <c r="A124" t="s">
        <v>680</v>
      </c>
      <c r="B124" s="6" t="s">
        <v>169</v>
      </c>
      <c r="C124" s="6">
        <v>41</v>
      </c>
      <c r="D124" s="6" t="s">
        <v>46</v>
      </c>
      <c r="E124" s="6" t="s">
        <v>71</v>
      </c>
      <c r="F124" s="6" t="s">
        <v>17</v>
      </c>
      <c r="G124" s="6" t="s">
        <v>27</v>
      </c>
      <c r="H124" s="6" t="s">
        <v>42</v>
      </c>
      <c r="I124" s="8">
        <v>337821.62</v>
      </c>
      <c r="J124" s="8">
        <v>337821.62</v>
      </c>
      <c r="K124" t="s">
        <v>170</v>
      </c>
      <c r="L124" s="6" t="s">
        <v>294</v>
      </c>
      <c r="M124" s="11" t="s">
        <v>555</v>
      </c>
      <c r="N124" s="13" t="str">
        <f t="shared" si="3"/>
        <v>N/A</v>
      </c>
      <c r="O124" s="13" t="str">
        <f t="shared" si="4"/>
        <v>N/A</v>
      </c>
      <c r="P124" s="13" t="str">
        <f t="shared" si="5"/>
        <v>N/A</v>
      </c>
      <c r="Q124" s="6">
        <v>5.3</v>
      </c>
      <c r="R124" s="6">
        <v>0</v>
      </c>
      <c r="S124" s="6" t="s">
        <v>29</v>
      </c>
      <c r="T124" s="6">
        <v>90</v>
      </c>
    </row>
    <row r="125" spans="1:20" x14ac:dyDescent="0.35">
      <c r="A125" t="s">
        <v>681</v>
      </c>
      <c r="B125" s="6" t="s">
        <v>161</v>
      </c>
      <c r="C125" s="6">
        <v>42</v>
      </c>
      <c r="D125" s="6" t="s">
        <v>46</v>
      </c>
      <c r="E125" s="6" t="s">
        <v>25</v>
      </c>
      <c r="F125" s="6" t="s">
        <v>41</v>
      </c>
      <c r="G125" s="6" t="s">
        <v>64</v>
      </c>
      <c r="H125" s="6" t="s">
        <v>42</v>
      </c>
      <c r="J125" s="8">
        <v>0</v>
      </c>
      <c r="K125" t="s">
        <v>162</v>
      </c>
      <c r="L125" s="6" t="s">
        <v>555</v>
      </c>
      <c r="M125" s="11">
        <v>44346</v>
      </c>
      <c r="N125" s="13" t="str">
        <f t="shared" si="3"/>
        <v>Sun</v>
      </c>
      <c r="O125" s="13" t="str">
        <f t="shared" si="4"/>
        <v>May</v>
      </c>
      <c r="P125" s="13" t="str">
        <f t="shared" si="5"/>
        <v>2021</v>
      </c>
      <c r="Q125" s="6">
        <v>1.1000000000000001</v>
      </c>
      <c r="R125" s="6">
        <v>13</v>
      </c>
      <c r="S125" s="6" t="s">
        <v>53</v>
      </c>
      <c r="T125" s="6">
        <v>21</v>
      </c>
    </row>
    <row r="126" spans="1:20" x14ac:dyDescent="0.35">
      <c r="A126" t="s">
        <v>682</v>
      </c>
      <c r="B126" s="6" t="s">
        <v>295</v>
      </c>
      <c r="C126" s="6" t="s">
        <v>555</v>
      </c>
      <c r="D126" s="6" t="s">
        <v>46</v>
      </c>
      <c r="E126" s="6" t="s">
        <v>25</v>
      </c>
      <c r="F126" s="6" t="s">
        <v>555</v>
      </c>
      <c r="G126" s="6" t="s">
        <v>31</v>
      </c>
      <c r="H126" s="6" t="s">
        <v>21</v>
      </c>
      <c r="I126" s="8">
        <v>132738.57999999999</v>
      </c>
      <c r="J126" s="8">
        <v>132738.57999999999</v>
      </c>
      <c r="K126" t="s">
        <v>296</v>
      </c>
      <c r="L126" s="6" t="s">
        <v>297</v>
      </c>
      <c r="M126" s="11">
        <v>43357</v>
      </c>
      <c r="N126" s="13" t="str">
        <f t="shared" si="3"/>
        <v>Fri</v>
      </c>
      <c r="O126" s="13" t="str">
        <f t="shared" si="4"/>
        <v>Sept</v>
      </c>
      <c r="P126" s="13" t="str">
        <f t="shared" si="5"/>
        <v>2018</v>
      </c>
      <c r="Q126" s="6">
        <v>1.4</v>
      </c>
      <c r="R126" s="6">
        <v>32</v>
      </c>
      <c r="S126" s="6" t="s">
        <v>53</v>
      </c>
      <c r="T126" s="6">
        <v>61</v>
      </c>
    </row>
    <row r="127" spans="1:20" x14ac:dyDescent="0.35">
      <c r="A127" t="s">
        <v>683</v>
      </c>
      <c r="B127" s="6" t="s">
        <v>298</v>
      </c>
      <c r="C127" s="6">
        <v>23</v>
      </c>
      <c r="D127" s="6" t="s">
        <v>46</v>
      </c>
      <c r="E127" s="6" t="s">
        <v>75</v>
      </c>
      <c r="F127" s="6" t="s">
        <v>41</v>
      </c>
      <c r="G127" s="6" t="s">
        <v>64</v>
      </c>
      <c r="H127" s="6" t="s">
        <v>42</v>
      </c>
      <c r="I127" s="8">
        <v>178194.65</v>
      </c>
      <c r="J127" s="8">
        <v>178194.65</v>
      </c>
      <c r="K127" t="s">
        <v>299</v>
      </c>
      <c r="L127" s="6" t="s">
        <v>300</v>
      </c>
      <c r="M127" s="11">
        <v>45486</v>
      </c>
      <c r="N127" s="13" t="str">
        <f t="shared" si="3"/>
        <v>Sat</v>
      </c>
      <c r="O127" s="13" t="str">
        <f t="shared" si="4"/>
        <v>Jul</v>
      </c>
      <c r="P127" s="13" t="str">
        <f t="shared" si="5"/>
        <v>2024</v>
      </c>
      <c r="Q127" s="6">
        <v>9.5</v>
      </c>
      <c r="R127" s="6">
        <v>22</v>
      </c>
      <c r="S127" s="6" t="s">
        <v>29</v>
      </c>
      <c r="T127" s="6">
        <v>14</v>
      </c>
    </row>
    <row r="128" spans="1:20" x14ac:dyDescent="0.35">
      <c r="A128" t="s">
        <v>684</v>
      </c>
      <c r="B128" s="6" t="s">
        <v>515</v>
      </c>
      <c r="C128" s="6">
        <v>34</v>
      </c>
      <c r="D128" s="6" t="s">
        <v>555</v>
      </c>
      <c r="E128" s="6" t="s">
        <v>52</v>
      </c>
      <c r="F128" s="6" t="s">
        <v>48</v>
      </c>
      <c r="G128" s="6" t="s">
        <v>72</v>
      </c>
      <c r="H128" s="6" t="s">
        <v>21</v>
      </c>
      <c r="I128" s="8">
        <v>488450.7</v>
      </c>
      <c r="J128" s="8">
        <v>488450.7</v>
      </c>
      <c r="K128" t="s">
        <v>301</v>
      </c>
      <c r="L128" s="6" t="s">
        <v>555</v>
      </c>
      <c r="M128" s="11">
        <v>40778</v>
      </c>
      <c r="N128" s="13" t="str">
        <f t="shared" si="3"/>
        <v>Tue</v>
      </c>
      <c r="O128" s="13" t="str">
        <f t="shared" si="4"/>
        <v>Aug</v>
      </c>
      <c r="P128" s="13" t="str">
        <f t="shared" si="5"/>
        <v>2011</v>
      </c>
      <c r="Q128" s="6">
        <v>3.6</v>
      </c>
      <c r="R128" s="6">
        <v>31</v>
      </c>
      <c r="S128" s="6" t="s">
        <v>555</v>
      </c>
      <c r="T128" s="6">
        <v>69</v>
      </c>
    </row>
    <row r="129" spans="1:20" x14ac:dyDescent="0.35">
      <c r="A129" t="s">
        <v>685</v>
      </c>
      <c r="B129" s="6" t="s">
        <v>516</v>
      </c>
      <c r="C129" s="6">
        <v>49</v>
      </c>
      <c r="D129" s="6" t="s">
        <v>555</v>
      </c>
      <c r="E129" s="6" t="s">
        <v>79</v>
      </c>
      <c r="F129" s="6" t="s">
        <v>30</v>
      </c>
      <c r="G129" s="6" t="s">
        <v>18</v>
      </c>
      <c r="H129" s="6" t="s">
        <v>42</v>
      </c>
      <c r="I129" s="8">
        <v>645675.28</v>
      </c>
      <c r="J129" s="8">
        <v>645675.28</v>
      </c>
      <c r="K129" t="s">
        <v>302</v>
      </c>
      <c r="L129" s="6" t="s">
        <v>303</v>
      </c>
      <c r="M129" s="11">
        <v>43970</v>
      </c>
      <c r="N129" s="13" t="str">
        <f t="shared" si="3"/>
        <v>Tue</v>
      </c>
      <c r="O129" s="13" t="str">
        <f t="shared" si="4"/>
        <v>May</v>
      </c>
      <c r="P129" s="13" t="str">
        <f t="shared" si="5"/>
        <v>2020</v>
      </c>
      <c r="Q129" s="6">
        <v>2.8</v>
      </c>
      <c r="R129" s="6">
        <v>4</v>
      </c>
      <c r="S129" s="6" t="s">
        <v>53</v>
      </c>
      <c r="T129" s="6">
        <v>3</v>
      </c>
    </row>
    <row r="130" spans="1:20" x14ac:dyDescent="0.35">
      <c r="A130" t="s">
        <v>686</v>
      </c>
      <c r="B130" s="6" t="s">
        <v>517</v>
      </c>
      <c r="C130" s="6">
        <v>35</v>
      </c>
      <c r="D130" s="6" t="s">
        <v>46</v>
      </c>
      <c r="E130" s="6" t="s">
        <v>555</v>
      </c>
      <c r="F130" s="6" t="s">
        <v>30</v>
      </c>
      <c r="G130" s="6" t="s">
        <v>72</v>
      </c>
      <c r="H130" s="6" t="s">
        <v>21</v>
      </c>
      <c r="I130" s="8">
        <v>471297.91</v>
      </c>
      <c r="J130" s="8">
        <v>471297.91</v>
      </c>
      <c r="K130" t="s">
        <v>304</v>
      </c>
      <c r="L130" s="6" t="s">
        <v>305</v>
      </c>
      <c r="M130" s="11">
        <v>45009</v>
      </c>
      <c r="N130" s="13" t="str">
        <f t="shared" si="3"/>
        <v>Fri</v>
      </c>
      <c r="O130" s="13" t="str">
        <f t="shared" si="4"/>
        <v>Mar</v>
      </c>
      <c r="P130" s="13" t="str">
        <f t="shared" si="5"/>
        <v>2023</v>
      </c>
      <c r="Q130" s="6">
        <v>7.2</v>
      </c>
      <c r="R130" s="6">
        <v>10</v>
      </c>
      <c r="S130" s="6" t="s">
        <v>555</v>
      </c>
      <c r="T130" s="6">
        <v>97</v>
      </c>
    </row>
    <row r="131" spans="1:20" x14ac:dyDescent="0.35">
      <c r="A131" t="s">
        <v>687</v>
      </c>
      <c r="B131" s="6" t="s">
        <v>306</v>
      </c>
      <c r="C131" s="6">
        <v>36</v>
      </c>
      <c r="D131" s="6" t="s">
        <v>555</v>
      </c>
      <c r="E131" s="6" t="s">
        <v>54</v>
      </c>
      <c r="F131" s="6" t="s">
        <v>41</v>
      </c>
      <c r="G131" s="6" t="s">
        <v>64</v>
      </c>
      <c r="H131" s="6" t="s">
        <v>21</v>
      </c>
      <c r="I131" s="8">
        <v>270337.12</v>
      </c>
      <c r="J131" s="8">
        <v>270337.12</v>
      </c>
      <c r="K131" t="s">
        <v>307</v>
      </c>
      <c r="L131" s="6" t="s">
        <v>308</v>
      </c>
      <c r="M131" s="11">
        <v>43903</v>
      </c>
      <c r="N131" s="13" t="str">
        <f t="shared" ref="N131:N194" si="6">TEXT(M131,"ddd")</f>
        <v>Fri</v>
      </c>
      <c r="O131" s="13" t="str">
        <f t="shared" ref="O131:O194" si="7">TEXT(M131,"mmm")</f>
        <v>Mar</v>
      </c>
      <c r="P131" s="13" t="str">
        <f t="shared" ref="P131:P194" si="8">TEXT(M131,"yyyy")</f>
        <v>2020</v>
      </c>
      <c r="Q131" s="6">
        <v>2.6</v>
      </c>
      <c r="R131" s="6">
        <v>4</v>
      </c>
      <c r="S131" s="6" t="s">
        <v>53</v>
      </c>
      <c r="T131" s="6">
        <v>22</v>
      </c>
    </row>
    <row r="132" spans="1:20" x14ac:dyDescent="0.35">
      <c r="A132" t="s">
        <v>688</v>
      </c>
      <c r="B132" s="6" t="s">
        <v>518</v>
      </c>
      <c r="C132" s="6">
        <v>53</v>
      </c>
      <c r="D132" s="6" t="s">
        <v>46</v>
      </c>
      <c r="E132" s="6" t="s">
        <v>79</v>
      </c>
      <c r="F132" s="6" t="s">
        <v>48</v>
      </c>
      <c r="G132" s="6" t="s">
        <v>72</v>
      </c>
      <c r="H132" s="6" t="s">
        <v>21</v>
      </c>
      <c r="I132" s="8">
        <v>84750.33</v>
      </c>
      <c r="J132" s="8">
        <v>84750.33</v>
      </c>
      <c r="K132" t="s">
        <v>309</v>
      </c>
      <c r="L132" s="6" t="s">
        <v>310</v>
      </c>
      <c r="M132" s="11">
        <v>41409</v>
      </c>
      <c r="N132" s="13" t="str">
        <f t="shared" si="6"/>
        <v>Wed</v>
      </c>
      <c r="O132" s="13" t="str">
        <f t="shared" si="7"/>
        <v>May</v>
      </c>
      <c r="P132" s="13" t="str">
        <f t="shared" si="8"/>
        <v>2013</v>
      </c>
      <c r="Q132" s="6" t="s">
        <v>555</v>
      </c>
      <c r="R132" s="6">
        <v>2</v>
      </c>
      <c r="S132" s="6" t="s">
        <v>555</v>
      </c>
      <c r="T132" s="6">
        <v>63</v>
      </c>
    </row>
    <row r="133" spans="1:20" x14ac:dyDescent="0.35">
      <c r="A133" t="s">
        <v>689</v>
      </c>
      <c r="B133" s="6" t="s">
        <v>519</v>
      </c>
      <c r="C133" s="6">
        <v>38</v>
      </c>
      <c r="D133" s="6" t="s">
        <v>15</v>
      </c>
      <c r="E133" s="6" t="s">
        <v>37</v>
      </c>
      <c r="F133" s="6" t="s">
        <v>26</v>
      </c>
      <c r="G133" s="6" t="s">
        <v>18</v>
      </c>
      <c r="H133" s="6" t="s">
        <v>21</v>
      </c>
      <c r="I133" s="8">
        <v>371928.55</v>
      </c>
      <c r="J133" s="8">
        <v>371928.55</v>
      </c>
      <c r="K133" t="s">
        <v>311</v>
      </c>
      <c r="L133" s="6" t="s">
        <v>312</v>
      </c>
      <c r="M133" s="11">
        <v>41953</v>
      </c>
      <c r="N133" s="13" t="str">
        <f t="shared" si="6"/>
        <v>Mon</v>
      </c>
      <c r="O133" s="13" t="str">
        <f t="shared" si="7"/>
        <v>Nov</v>
      </c>
      <c r="P133" s="13" t="str">
        <f t="shared" si="8"/>
        <v>2014</v>
      </c>
      <c r="Q133" s="6">
        <v>6.9</v>
      </c>
      <c r="R133" s="6">
        <v>21</v>
      </c>
      <c r="S133" s="6" t="s">
        <v>555</v>
      </c>
      <c r="T133" s="6">
        <v>23</v>
      </c>
    </row>
    <row r="134" spans="1:20" x14ac:dyDescent="0.35">
      <c r="A134" t="s">
        <v>690</v>
      </c>
      <c r="B134" s="6" t="s">
        <v>520</v>
      </c>
      <c r="C134" s="6">
        <v>55</v>
      </c>
      <c r="D134" s="6" t="s">
        <v>15</v>
      </c>
      <c r="E134" s="6" t="s">
        <v>63</v>
      </c>
      <c r="F134" s="6" t="s">
        <v>34</v>
      </c>
      <c r="G134" s="6" t="s">
        <v>60</v>
      </c>
      <c r="H134" s="6" t="s">
        <v>42</v>
      </c>
      <c r="J134" s="8">
        <v>0</v>
      </c>
      <c r="K134" t="s">
        <v>313</v>
      </c>
      <c r="L134" s="6" t="s">
        <v>555</v>
      </c>
      <c r="M134" s="11">
        <v>41141</v>
      </c>
      <c r="N134" s="13" t="str">
        <f t="shared" si="6"/>
        <v>Mon</v>
      </c>
      <c r="O134" s="13" t="str">
        <f t="shared" si="7"/>
        <v>Aug</v>
      </c>
      <c r="P134" s="13" t="str">
        <f t="shared" si="8"/>
        <v>2012</v>
      </c>
      <c r="Q134" s="6">
        <v>4.9000000000000004</v>
      </c>
      <c r="R134" s="6">
        <v>24</v>
      </c>
      <c r="S134" s="6" t="s">
        <v>53</v>
      </c>
      <c r="T134" s="6">
        <v>76</v>
      </c>
    </row>
    <row r="135" spans="1:20" x14ac:dyDescent="0.35">
      <c r="A135" t="s">
        <v>691</v>
      </c>
      <c r="B135" s="6" t="s">
        <v>521</v>
      </c>
      <c r="C135" s="6">
        <v>38</v>
      </c>
      <c r="D135" s="6" t="s">
        <v>46</v>
      </c>
      <c r="E135" s="6" t="s">
        <v>63</v>
      </c>
      <c r="F135" s="6" t="s">
        <v>17</v>
      </c>
      <c r="G135" s="6" t="s">
        <v>27</v>
      </c>
      <c r="H135" s="6" t="s">
        <v>32</v>
      </c>
      <c r="I135" s="8">
        <v>698518.34</v>
      </c>
      <c r="J135" s="8">
        <v>698518.34</v>
      </c>
      <c r="K135" t="s">
        <v>314</v>
      </c>
      <c r="L135" s="6" t="s">
        <v>555</v>
      </c>
      <c r="M135" s="11">
        <v>44459</v>
      </c>
      <c r="N135" s="13" t="str">
        <f t="shared" si="6"/>
        <v>Mon</v>
      </c>
      <c r="O135" s="13" t="str">
        <f t="shared" si="7"/>
        <v>Sept</v>
      </c>
      <c r="P135" s="13" t="str">
        <f t="shared" si="8"/>
        <v>2021</v>
      </c>
      <c r="Q135" s="6">
        <v>3.4</v>
      </c>
      <c r="R135" s="6">
        <v>17</v>
      </c>
      <c r="S135" s="6" t="s">
        <v>53</v>
      </c>
      <c r="T135" s="6">
        <v>41</v>
      </c>
    </row>
    <row r="136" spans="1:20" x14ac:dyDescent="0.35">
      <c r="A136" t="s">
        <v>692</v>
      </c>
      <c r="B136" s="6" t="s">
        <v>522</v>
      </c>
      <c r="C136" s="6">
        <v>57</v>
      </c>
      <c r="D136" s="6" t="s">
        <v>46</v>
      </c>
      <c r="E136" s="6" t="s">
        <v>25</v>
      </c>
      <c r="F136" s="6" t="s">
        <v>34</v>
      </c>
      <c r="G136" s="6" t="s">
        <v>60</v>
      </c>
      <c r="H136" s="6" t="s">
        <v>42</v>
      </c>
      <c r="I136" s="8">
        <v>300790.21999999997</v>
      </c>
      <c r="J136" s="8">
        <v>300790.21999999997</v>
      </c>
      <c r="K136" t="s">
        <v>315</v>
      </c>
      <c r="L136" s="6" t="s">
        <v>316</v>
      </c>
      <c r="M136" s="11">
        <v>42061</v>
      </c>
      <c r="N136" s="13" t="str">
        <f t="shared" si="6"/>
        <v>Thu</v>
      </c>
      <c r="O136" s="13" t="str">
        <f t="shared" si="7"/>
        <v>Feb</v>
      </c>
      <c r="P136" s="13" t="str">
        <f t="shared" si="8"/>
        <v>2015</v>
      </c>
      <c r="Q136" s="6">
        <v>4.5</v>
      </c>
      <c r="R136" s="6">
        <v>9</v>
      </c>
      <c r="S136" s="6" t="s">
        <v>555</v>
      </c>
      <c r="T136" s="6">
        <v>6</v>
      </c>
    </row>
    <row r="137" spans="1:20" x14ac:dyDescent="0.35">
      <c r="A137" t="s">
        <v>693</v>
      </c>
      <c r="B137" s="6" t="s">
        <v>232</v>
      </c>
      <c r="C137" s="6">
        <v>46</v>
      </c>
      <c r="D137" s="6" t="s">
        <v>555</v>
      </c>
      <c r="E137" s="6" t="s">
        <v>54</v>
      </c>
      <c r="F137" s="6" t="s">
        <v>57</v>
      </c>
      <c r="G137" s="6" t="s">
        <v>64</v>
      </c>
      <c r="H137" s="6" t="s">
        <v>42</v>
      </c>
      <c r="I137" s="8">
        <v>552446.17000000004</v>
      </c>
      <c r="J137" s="8">
        <v>552446.17000000004</v>
      </c>
      <c r="K137" t="s">
        <v>233</v>
      </c>
      <c r="L137" s="6" t="s">
        <v>555</v>
      </c>
      <c r="M137" s="11">
        <v>44228</v>
      </c>
      <c r="N137" s="13" t="str">
        <f t="shared" si="6"/>
        <v>Mon</v>
      </c>
      <c r="O137" s="13" t="str">
        <f t="shared" si="7"/>
        <v>Feb</v>
      </c>
      <c r="P137" s="13" t="str">
        <f t="shared" si="8"/>
        <v>2021</v>
      </c>
      <c r="Q137" s="6">
        <v>7.3</v>
      </c>
      <c r="R137" s="6">
        <v>23</v>
      </c>
      <c r="S137" s="6" t="s">
        <v>29</v>
      </c>
      <c r="T137" s="6">
        <v>9</v>
      </c>
    </row>
    <row r="138" spans="1:20" x14ac:dyDescent="0.35">
      <c r="A138" t="s">
        <v>694</v>
      </c>
      <c r="B138" s="6" t="s">
        <v>484</v>
      </c>
      <c r="C138" s="6">
        <v>47</v>
      </c>
      <c r="D138" s="6" t="s">
        <v>46</v>
      </c>
      <c r="E138" s="6" t="s">
        <v>63</v>
      </c>
      <c r="F138" s="6" t="s">
        <v>30</v>
      </c>
      <c r="G138" s="6" t="s">
        <v>31</v>
      </c>
      <c r="H138" s="6" t="s">
        <v>42</v>
      </c>
      <c r="I138" s="8" t="s">
        <v>317</v>
      </c>
      <c r="J138" s="8">
        <v>610586.39</v>
      </c>
      <c r="K138" t="s">
        <v>318</v>
      </c>
      <c r="L138" s="6" t="s">
        <v>319</v>
      </c>
      <c r="M138" s="11">
        <v>43025</v>
      </c>
      <c r="N138" s="13" t="str">
        <f t="shared" si="6"/>
        <v>Tue</v>
      </c>
      <c r="O138" s="13" t="str">
        <f t="shared" si="7"/>
        <v>Oct</v>
      </c>
      <c r="P138" s="13" t="str">
        <f t="shared" si="8"/>
        <v>2017</v>
      </c>
      <c r="Q138" s="6">
        <v>2</v>
      </c>
      <c r="R138" s="6">
        <v>7</v>
      </c>
      <c r="S138" s="6" t="s">
        <v>29</v>
      </c>
      <c r="T138" s="6">
        <v>81</v>
      </c>
    </row>
    <row r="139" spans="1:20" x14ac:dyDescent="0.35">
      <c r="A139" t="s">
        <v>695</v>
      </c>
      <c r="B139" s="6" t="s">
        <v>523</v>
      </c>
      <c r="C139" s="6">
        <v>58</v>
      </c>
      <c r="D139" s="6" t="s">
        <v>46</v>
      </c>
      <c r="E139" s="6" t="s">
        <v>63</v>
      </c>
      <c r="F139" s="6" t="s">
        <v>57</v>
      </c>
      <c r="G139" s="6" t="s">
        <v>60</v>
      </c>
      <c r="H139" s="6" t="s">
        <v>32</v>
      </c>
      <c r="I139" s="8">
        <v>324555.75</v>
      </c>
      <c r="J139" s="8">
        <v>324555.75</v>
      </c>
      <c r="K139" t="s">
        <v>320</v>
      </c>
      <c r="L139" s="6" t="s">
        <v>321</v>
      </c>
      <c r="M139" s="11">
        <v>42291</v>
      </c>
      <c r="N139" s="13" t="str">
        <f t="shared" si="6"/>
        <v>Wed</v>
      </c>
      <c r="O139" s="13" t="str">
        <f t="shared" si="7"/>
        <v>Oct</v>
      </c>
      <c r="P139" s="13" t="str">
        <f t="shared" si="8"/>
        <v>2015</v>
      </c>
      <c r="Q139" s="6">
        <v>3.2</v>
      </c>
      <c r="R139" s="6">
        <v>21</v>
      </c>
      <c r="S139" s="6" t="s">
        <v>53</v>
      </c>
      <c r="T139" s="6">
        <v>35</v>
      </c>
    </row>
    <row r="140" spans="1:20" x14ac:dyDescent="0.35">
      <c r="A140" t="s">
        <v>696</v>
      </c>
      <c r="B140" s="6" t="s">
        <v>322</v>
      </c>
      <c r="C140" s="6">
        <v>34</v>
      </c>
      <c r="D140" s="6" t="s">
        <v>46</v>
      </c>
      <c r="E140" s="6" t="s">
        <v>37</v>
      </c>
      <c r="F140" s="6" t="s">
        <v>48</v>
      </c>
      <c r="G140" s="6" t="s">
        <v>60</v>
      </c>
      <c r="H140" s="6" t="s">
        <v>42</v>
      </c>
      <c r="I140" s="8">
        <v>609508.93000000005</v>
      </c>
      <c r="J140" s="8">
        <v>609508.93000000005</v>
      </c>
      <c r="K140" t="s">
        <v>323</v>
      </c>
      <c r="L140" s="6" t="s">
        <v>324</v>
      </c>
      <c r="M140" s="11">
        <v>41456</v>
      </c>
      <c r="N140" s="13" t="str">
        <f t="shared" si="6"/>
        <v>Mon</v>
      </c>
      <c r="O140" s="13" t="str">
        <f t="shared" si="7"/>
        <v>Jul</v>
      </c>
      <c r="P140" s="13" t="str">
        <f t="shared" si="8"/>
        <v>2013</v>
      </c>
      <c r="Q140" s="6">
        <v>4.3</v>
      </c>
      <c r="R140" s="6">
        <v>17</v>
      </c>
      <c r="S140" s="6" t="s">
        <v>53</v>
      </c>
      <c r="T140" s="6">
        <v>28</v>
      </c>
    </row>
    <row r="141" spans="1:20" x14ac:dyDescent="0.35">
      <c r="A141" t="s">
        <v>697</v>
      </c>
      <c r="B141" s="6" t="s">
        <v>524</v>
      </c>
      <c r="C141" s="6">
        <v>49</v>
      </c>
      <c r="D141" s="6" t="s">
        <v>46</v>
      </c>
      <c r="E141" s="6" t="s">
        <v>71</v>
      </c>
      <c r="F141" s="6" t="s">
        <v>41</v>
      </c>
      <c r="G141" s="6" t="s">
        <v>18</v>
      </c>
      <c r="H141" s="6" t="s">
        <v>42</v>
      </c>
      <c r="I141" s="8">
        <v>441782.15</v>
      </c>
      <c r="J141" s="8">
        <v>441782.15</v>
      </c>
      <c r="K141" t="s">
        <v>325</v>
      </c>
      <c r="L141" s="6" t="s">
        <v>326</v>
      </c>
      <c r="M141" s="11">
        <v>42764</v>
      </c>
      <c r="N141" s="13" t="str">
        <f t="shared" si="6"/>
        <v>Sun</v>
      </c>
      <c r="O141" s="13" t="str">
        <f t="shared" si="7"/>
        <v>Jan</v>
      </c>
      <c r="P141" s="13" t="str">
        <f t="shared" si="8"/>
        <v>2017</v>
      </c>
      <c r="Q141" s="6">
        <v>3.4</v>
      </c>
      <c r="R141" s="6">
        <v>21</v>
      </c>
      <c r="S141" s="6" t="s">
        <v>53</v>
      </c>
      <c r="T141" s="6">
        <v>42</v>
      </c>
    </row>
    <row r="142" spans="1:20" x14ac:dyDescent="0.35">
      <c r="A142" t="s">
        <v>698</v>
      </c>
      <c r="B142" s="6" t="s">
        <v>525</v>
      </c>
      <c r="C142" s="6">
        <v>39</v>
      </c>
      <c r="D142" s="6" t="s">
        <v>15</v>
      </c>
      <c r="E142" s="6" t="s">
        <v>52</v>
      </c>
      <c r="F142" s="6" t="s">
        <v>555</v>
      </c>
      <c r="G142" s="6" t="s">
        <v>64</v>
      </c>
      <c r="H142" s="6" t="s">
        <v>42</v>
      </c>
      <c r="I142" s="8">
        <v>785076.17</v>
      </c>
      <c r="J142" s="8">
        <v>785076.17</v>
      </c>
      <c r="K142" t="s">
        <v>327</v>
      </c>
      <c r="L142" s="6" t="s">
        <v>328</v>
      </c>
      <c r="M142" s="11">
        <v>43299</v>
      </c>
      <c r="N142" s="13" t="str">
        <f t="shared" si="6"/>
        <v>Wed</v>
      </c>
      <c r="O142" s="13" t="str">
        <f t="shared" si="7"/>
        <v>Jul</v>
      </c>
      <c r="P142" s="13" t="str">
        <f t="shared" si="8"/>
        <v>2018</v>
      </c>
      <c r="Q142" s="6">
        <v>7.5</v>
      </c>
      <c r="R142" s="6">
        <v>35</v>
      </c>
      <c r="S142" s="6" t="s">
        <v>29</v>
      </c>
      <c r="T142" s="6">
        <v>69</v>
      </c>
    </row>
    <row r="143" spans="1:20" x14ac:dyDescent="0.35">
      <c r="A143" t="s">
        <v>699</v>
      </c>
      <c r="B143" s="6" t="s">
        <v>513</v>
      </c>
      <c r="C143" s="6">
        <v>28</v>
      </c>
      <c r="D143" s="6" t="s">
        <v>46</v>
      </c>
      <c r="E143" s="6" t="s">
        <v>25</v>
      </c>
      <c r="F143" s="6" t="s">
        <v>34</v>
      </c>
      <c r="G143" s="6" t="s">
        <v>31</v>
      </c>
      <c r="H143" s="6" t="s">
        <v>555</v>
      </c>
      <c r="I143" s="8">
        <v>339892.66</v>
      </c>
      <c r="J143" s="8">
        <v>339892.66</v>
      </c>
      <c r="K143" t="s">
        <v>290</v>
      </c>
      <c r="L143" s="6" t="s">
        <v>329</v>
      </c>
      <c r="M143" s="11" t="s">
        <v>555</v>
      </c>
      <c r="N143" s="13" t="str">
        <f t="shared" si="6"/>
        <v>N/A</v>
      </c>
      <c r="O143" s="13" t="str">
        <f t="shared" si="7"/>
        <v>N/A</v>
      </c>
      <c r="P143" s="13" t="str">
        <f t="shared" si="8"/>
        <v>N/A</v>
      </c>
      <c r="Q143" s="6">
        <v>6.5</v>
      </c>
      <c r="R143" s="6">
        <v>10</v>
      </c>
      <c r="S143" s="6" t="s">
        <v>29</v>
      </c>
      <c r="T143" s="6">
        <v>61</v>
      </c>
    </row>
    <row r="144" spans="1:20" x14ac:dyDescent="0.35">
      <c r="A144" t="s">
        <v>700</v>
      </c>
      <c r="B144" s="6" t="s">
        <v>526</v>
      </c>
      <c r="C144" s="6">
        <v>36</v>
      </c>
      <c r="D144" s="6" t="s">
        <v>15</v>
      </c>
      <c r="E144" s="6" t="s">
        <v>16</v>
      </c>
      <c r="F144" s="6" t="s">
        <v>26</v>
      </c>
      <c r="G144" s="6" t="s">
        <v>31</v>
      </c>
      <c r="H144" s="6" t="s">
        <v>42</v>
      </c>
      <c r="I144" s="8">
        <v>591512.11</v>
      </c>
      <c r="J144" s="8">
        <v>591512.11</v>
      </c>
      <c r="K144" t="s">
        <v>330</v>
      </c>
      <c r="L144" s="6" t="s">
        <v>555</v>
      </c>
      <c r="M144" s="11">
        <v>44987</v>
      </c>
      <c r="N144" s="13" t="str">
        <f t="shared" si="6"/>
        <v>Thu</v>
      </c>
      <c r="O144" s="13" t="str">
        <f t="shared" si="7"/>
        <v>Mar</v>
      </c>
      <c r="P144" s="13" t="str">
        <f t="shared" si="8"/>
        <v>2023</v>
      </c>
      <c r="Q144" s="6">
        <v>2.5</v>
      </c>
      <c r="R144" s="6">
        <v>30</v>
      </c>
      <c r="S144" s="6" t="s">
        <v>29</v>
      </c>
      <c r="T144" s="6">
        <v>52</v>
      </c>
    </row>
    <row r="145" spans="1:20" x14ac:dyDescent="0.35">
      <c r="A145" t="s">
        <v>701</v>
      </c>
      <c r="B145" s="6" t="s">
        <v>527</v>
      </c>
      <c r="C145" s="6">
        <v>27</v>
      </c>
      <c r="D145" s="6" t="s">
        <v>555</v>
      </c>
      <c r="E145" s="6" t="s">
        <v>54</v>
      </c>
      <c r="F145" s="6" t="s">
        <v>59</v>
      </c>
      <c r="G145" s="6" t="s">
        <v>64</v>
      </c>
      <c r="H145" s="6" t="s">
        <v>42</v>
      </c>
      <c r="I145" s="8">
        <v>302746.87</v>
      </c>
      <c r="J145" s="8">
        <v>302746.87</v>
      </c>
      <c r="K145" t="s">
        <v>331</v>
      </c>
      <c r="L145" s="6" t="s">
        <v>332</v>
      </c>
      <c r="M145" s="11">
        <v>40466</v>
      </c>
      <c r="N145" s="13" t="str">
        <f t="shared" si="6"/>
        <v>Fri</v>
      </c>
      <c r="O145" s="13" t="str">
        <f t="shared" si="7"/>
        <v>Oct</v>
      </c>
      <c r="P145" s="13" t="str">
        <f t="shared" si="8"/>
        <v>2010</v>
      </c>
      <c r="Q145" s="6">
        <v>6.3</v>
      </c>
      <c r="R145" s="6">
        <v>27</v>
      </c>
      <c r="S145" s="6" t="s">
        <v>29</v>
      </c>
      <c r="T145" s="6">
        <v>91</v>
      </c>
    </row>
    <row r="146" spans="1:20" x14ac:dyDescent="0.35">
      <c r="A146" t="s">
        <v>702</v>
      </c>
      <c r="B146" s="6" t="s">
        <v>85</v>
      </c>
      <c r="C146" s="6">
        <v>50</v>
      </c>
      <c r="D146" s="6" t="s">
        <v>15</v>
      </c>
      <c r="E146" s="6" t="s">
        <v>555</v>
      </c>
      <c r="F146" s="6" t="s">
        <v>26</v>
      </c>
      <c r="G146" s="6" t="s">
        <v>60</v>
      </c>
      <c r="H146" s="6" t="s">
        <v>42</v>
      </c>
      <c r="I146" s="8">
        <v>192116.63</v>
      </c>
      <c r="J146" s="8">
        <v>192116.63</v>
      </c>
      <c r="K146" t="s">
        <v>86</v>
      </c>
      <c r="L146" s="6" t="s">
        <v>333</v>
      </c>
      <c r="M146" s="11">
        <v>44562</v>
      </c>
      <c r="N146" s="13" t="str">
        <f t="shared" si="6"/>
        <v>Sat</v>
      </c>
      <c r="O146" s="13" t="str">
        <f t="shared" si="7"/>
        <v>Jan</v>
      </c>
      <c r="P146" s="13" t="str">
        <f t="shared" si="8"/>
        <v>2022</v>
      </c>
      <c r="Q146" s="6">
        <v>4.7</v>
      </c>
      <c r="R146" s="6">
        <v>10</v>
      </c>
      <c r="S146" s="6" t="s">
        <v>29</v>
      </c>
      <c r="T146" s="6">
        <v>38</v>
      </c>
    </row>
    <row r="147" spans="1:20" x14ac:dyDescent="0.35">
      <c r="A147" t="s">
        <v>703</v>
      </c>
      <c r="B147" s="6" t="s">
        <v>223</v>
      </c>
      <c r="C147" s="6">
        <v>55</v>
      </c>
      <c r="D147" s="6" t="s">
        <v>15</v>
      </c>
      <c r="E147" s="6" t="s">
        <v>37</v>
      </c>
      <c r="F147" s="6" t="s">
        <v>48</v>
      </c>
      <c r="G147" s="6" t="s">
        <v>18</v>
      </c>
      <c r="H147" s="6" t="s">
        <v>42</v>
      </c>
      <c r="I147" s="8">
        <v>661453.96</v>
      </c>
      <c r="J147" s="8">
        <v>661453.96</v>
      </c>
      <c r="K147" t="s">
        <v>224</v>
      </c>
      <c r="L147" s="6" t="s">
        <v>334</v>
      </c>
      <c r="M147" s="11">
        <v>40739</v>
      </c>
      <c r="N147" s="13" t="str">
        <f t="shared" si="6"/>
        <v>Fri</v>
      </c>
      <c r="O147" s="13" t="str">
        <f t="shared" si="7"/>
        <v>Jul</v>
      </c>
      <c r="P147" s="13" t="str">
        <f t="shared" si="8"/>
        <v>2011</v>
      </c>
      <c r="Q147" s="6">
        <v>0</v>
      </c>
      <c r="R147" s="6">
        <v>8</v>
      </c>
      <c r="S147" s="6" t="s">
        <v>29</v>
      </c>
      <c r="T147" s="6" t="s">
        <v>555</v>
      </c>
    </row>
    <row r="148" spans="1:20" x14ac:dyDescent="0.35">
      <c r="A148" t="s">
        <v>704</v>
      </c>
      <c r="B148" s="6" t="s">
        <v>487</v>
      </c>
      <c r="C148" s="6">
        <v>43</v>
      </c>
      <c r="D148" s="6" t="s">
        <v>15</v>
      </c>
      <c r="E148" s="6" t="s">
        <v>63</v>
      </c>
      <c r="F148" s="6" t="s">
        <v>48</v>
      </c>
      <c r="G148" s="6" t="s">
        <v>72</v>
      </c>
      <c r="H148" s="6" t="s">
        <v>555</v>
      </c>
      <c r="J148" s="8">
        <v>0</v>
      </c>
      <c r="K148" t="s">
        <v>335</v>
      </c>
      <c r="L148" s="6" t="s">
        <v>336</v>
      </c>
      <c r="M148" s="11">
        <v>42362</v>
      </c>
      <c r="N148" s="13" t="str">
        <f t="shared" si="6"/>
        <v>Thu</v>
      </c>
      <c r="O148" s="13" t="str">
        <f t="shared" si="7"/>
        <v>Dec</v>
      </c>
      <c r="P148" s="13" t="str">
        <f t="shared" si="8"/>
        <v>2015</v>
      </c>
      <c r="Q148" s="6">
        <v>7.9</v>
      </c>
      <c r="R148" s="6">
        <v>2</v>
      </c>
      <c r="S148" s="6" t="s">
        <v>29</v>
      </c>
      <c r="T148" s="6">
        <v>52</v>
      </c>
    </row>
    <row r="149" spans="1:20" x14ac:dyDescent="0.35">
      <c r="A149" t="s">
        <v>705</v>
      </c>
      <c r="B149" s="6" t="s">
        <v>528</v>
      </c>
      <c r="C149" s="6">
        <v>42</v>
      </c>
      <c r="D149" s="6" t="s">
        <v>15</v>
      </c>
      <c r="E149" s="6" t="s">
        <v>16</v>
      </c>
      <c r="F149" s="6" t="s">
        <v>48</v>
      </c>
      <c r="G149" s="6" t="s">
        <v>31</v>
      </c>
      <c r="H149" s="6" t="s">
        <v>42</v>
      </c>
      <c r="J149" s="8">
        <v>0</v>
      </c>
      <c r="K149" t="s">
        <v>337</v>
      </c>
      <c r="L149" s="6" t="s">
        <v>338</v>
      </c>
      <c r="M149" s="11">
        <v>45640</v>
      </c>
      <c r="N149" s="13" t="str">
        <f t="shared" si="6"/>
        <v>Sat</v>
      </c>
      <c r="O149" s="13" t="str">
        <f t="shared" si="7"/>
        <v>Dec</v>
      </c>
      <c r="P149" s="13" t="str">
        <f t="shared" si="8"/>
        <v>2024</v>
      </c>
      <c r="Q149" s="6">
        <v>1.1000000000000001</v>
      </c>
      <c r="R149" s="6">
        <v>30</v>
      </c>
      <c r="S149" s="6" t="s">
        <v>53</v>
      </c>
      <c r="T149" s="6">
        <v>9</v>
      </c>
    </row>
    <row r="150" spans="1:20" x14ac:dyDescent="0.35">
      <c r="A150" t="s">
        <v>706</v>
      </c>
      <c r="B150" s="6" t="s">
        <v>402</v>
      </c>
      <c r="C150" s="6">
        <v>43</v>
      </c>
      <c r="D150" s="6" t="s">
        <v>46</v>
      </c>
      <c r="E150" s="6" t="s">
        <v>75</v>
      </c>
      <c r="F150" s="6" t="s">
        <v>59</v>
      </c>
      <c r="G150" s="6" t="s">
        <v>18</v>
      </c>
      <c r="H150" s="6" t="s">
        <v>32</v>
      </c>
      <c r="I150" s="8">
        <v>530095.28</v>
      </c>
      <c r="J150" s="8">
        <v>530095.28</v>
      </c>
      <c r="K150" t="s">
        <v>339</v>
      </c>
      <c r="L150" s="6" t="s">
        <v>340</v>
      </c>
      <c r="M150" s="11">
        <v>42085</v>
      </c>
      <c r="N150" s="13" t="str">
        <f t="shared" si="6"/>
        <v>Sun</v>
      </c>
      <c r="O150" s="13" t="str">
        <f t="shared" si="7"/>
        <v>Mar</v>
      </c>
      <c r="P150" s="13" t="str">
        <f t="shared" si="8"/>
        <v>2015</v>
      </c>
      <c r="Q150" s="6">
        <v>9.1</v>
      </c>
      <c r="R150" s="6">
        <v>18</v>
      </c>
      <c r="S150" s="6" t="s">
        <v>53</v>
      </c>
      <c r="T150" s="6">
        <v>19</v>
      </c>
    </row>
    <row r="151" spans="1:20" x14ac:dyDescent="0.35">
      <c r="A151" t="s">
        <v>707</v>
      </c>
      <c r="B151" s="6" t="s">
        <v>529</v>
      </c>
      <c r="C151" s="6">
        <v>60</v>
      </c>
      <c r="D151" s="6" t="s">
        <v>46</v>
      </c>
      <c r="E151" s="6" t="s">
        <v>37</v>
      </c>
      <c r="F151" s="6" t="s">
        <v>34</v>
      </c>
      <c r="G151" s="6" t="s">
        <v>64</v>
      </c>
      <c r="H151" s="6" t="s">
        <v>555</v>
      </c>
      <c r="I151" s="8">
        <v>129591.14</v>
      </c>
      <c r="J151" s="8">
        <v>129591.14</v>
      </c>
      <c r="K151" t="s">
        <v>341</v>
      </c>
      <c r="L151" s="6" t="s">
        <v>342</v>
      </c>
      <c r="M151" s="11">
        <v>45405</v>
      </c>
      <c r="N151" s="13" t="str">
        <f t="shared" si="6"/>
        <v>Tue</v>
      </c>
      <c r="O151" s="13" t="str">
        <f t="shared" si="7"/>
        <v>Apr</v>
      </c>
      <c r="P151" s="13" t="str">
        <f t="shared" si="8"/>
        <v>2024</v>
      </c>
      <c r="Q151" s="6">
        <v>2.7</v>
      </c>
      <c r="R151" s="6">
        <v>9</v>
      </c>
      <c r="S151" s="6" t="s">
        <v>29</v>
      </c>
      <c r="T151" s="6">
        <v>32</v>
      </c>
    </row>
    <row r="152" spans="1:20" x14ac:dyDescent="0.35">
      <c r="A152" t="s">
        <v>708</v>
      </c>
      <c r="B152" s="6" t="s">
        <v>343</v>
      </c>
      <c r="C152" s="6" t="s">
        <v>555</v>
      </c>
      <c r="D152" s="6" t="s">
        <v>46</v>
      </c>
      <c r="E152" s="6" t="s">
        <v>79</v>
      </c>
      <c r="F152" s="6" t="s">
        <v>48</v>
      </c>
      <c r="G152" s="6" t="s">
        <v>60</v>
      </c>
      <c r="H152" s="6" t="s">
        <v>42</v>
      </c>
      <c r="J152" s="8">
        <v>0</v>
      </c>
      <c r="K152" t="s">
        <v>126</v>
      </c>
      <c r="L152" s="6" t="s">
        <v>344</v>
      </c>
      <c r="M152" s="11">
        <v>40581</v>
      </c>
      <c r="N152" s="13" t="str">
        <f t="shared" si="6"/>
        <v>Mon</v>
      </c>
      <c r="O152" s="13" t="str">
        <f t="shared" si="7"/>
        <v>Feb</v>
      </c>
      <c r="P152" s="13" t="str">
        <f t="shared" si="8"/>
        <v>2011</v>
      </c>
      <c r="Q152" s="6">
        <v>7.7</v>
      </c>
      <c r="R152" s="6">
        <v>3</v>
      </c>
      <c r="S152" s="6" t="s">
        <v>29</v>
      </c>
      <c r="T152" s="6">
        <v>73</v>
      </c>
    </row>
    <row r="153" spans="1:20" x14ac:dyDescent="0.35">
      <c r="A153" t="s">
        <v>709</v>
      </c>
      <c r="B153" s="6" t="s">
        <v>530</v>
      </c>
      <c r="C153" s="6">
        <v>55</v>
      </c>
      <c r="D153" s="6" t="s">
        <v>46</v>
      </c>
      <c r="E153" s="6" t="s">
        <v>63</v>
      </c>
      <c r="F153" s="6" t="s">
        <v>48</v>
      </c>
      <c r="G153" s="6" t="s">
        <v>18</v>
      </c>
      <c r="H153" s="6" t="s">
        <v>42</v>
      </c>
      <c r="I153" s="8">
        <v>462795.96</v>
      </c>
      <c r="J153" s="8">
        <v>462795.96</v>
      </c>
      <c r="K153" t="s">
        <v>345</v>
      </c>
      <c r="L153" s="6" t="s">
        <v>555</v>
      </c>
      <c r="M153" s="11">
        <v>44751</v>
      </c>
      <c r="N153" s="13" t="str">
        <f t="shared" si="6"/>
        <v>Sat</v>
      </c>
      <c r="O153" s="13" t="str">
        <f t="shared" si="7"/>
        <v>Jul</v>
      </c>
      <c r="P153" s="13" t="str">
        <f t="shared" si="8"/>
        <v>2022</v>
      </c>
      <c r="Q153" s="6">
        <v>4.5999999999999996</v>
      </c>
      <c r="R153" s="6">
        <v>28</v>
      </c>
      <c r="S153" s="6" t="s">
        <v>29</v>
      </c>
      <c r="T153" s="6">
        <v>100</v>
      </c>
    </row>
    <row r="154" spans="1:20" x14ac:dyDescent="0.35">
      <c r="A154" t="s">
        <v>710</v>
      </c>
      <c r="B154" s="6" t="s">
        <v>346</v>
      </c>
      <c r="C154" s="6">
        <v>49</v>
      </c>
      <c r="D154" s="6" t="s">
        <v>555</v>
      </c>
      <c r="E154" s="6" t="s">
        <v>75</v>
      </c>
      <c r="F154" s="6" t="s">
        <v>41</v>
      </c>
      <c r="G154" s="6" t="s">
        <v>20</v>
      </c>
      <c r="H154" s="6" t="s">
        <v>42</v>
      </c>
      <c r="I154" s="8">
        <v>253320.24</v>
      </c>
      <c r="J154" s="8">
        <v>253320.24</v>
      </c>
      <c r="K154" t="s">
        <v>347</v>
      </c>
      <c r="L154" s="6" t="s">
        <v>348</v>
      </c>
      <c r="M154" s="11">
        <v>43844</v>
      </c>
      <c r="N154" s="13" t="str">
        <f t="shared" si="6"/>
        <v>Tue</v>
      </c>
      <c r="O154" s="13" t="str">
        <f t="shared" si="7"/>
        <v>Jan</v>
      </c>
      <c r="P154" s="13" t="str">
        <f t="shared" si="8"/>
        <v>2020</v>
      </c>
      <c r="Q154" s="6">
        <v>3.7</v>
      </c>
      <c r="R154" s="6">
        <v>1</v>
      </c>
      <c r="S154" s="6" t="s">
        <v>29</v>
      </c>
      <c r="T154" s="6">
        <v>92</v>
      </c>
    </row>
    <row r="155" spans="1:20" x14ac:dyDescent="0.35">
      <c r="A155" t="s">
        <v>711</v>
      </c>
      <c r="B155" s="6" t="s">
        <v>531</v>
      </c>
      <c r="C155" s="6">
        <v>31</v>
      </c>
      <c r="D155" s="6" t="s">
        <v>46</v>
      </c>
      <c r="E155" s="6" t="s">
        <v>16</v>
      </c>
      <c r="F155" s="6" t="s">
        <v>57</v>
      </c>
      <c r="G155" s="6" t="s">
        <v>27</v>
      </c>
      <c r="H155" s="6" t="s">
        <v>21</v>
      </c>
      <c r="I155" s="8">
        <v>192397.12</v>
      </c>
      <c r="J155" s="8">
        <v>192397.12</v>
      </c>
      <c r="K155" t="s">
        <v>349</v>
      </c>
      <c r="L155" s="6" t="s">
        <v>350</v>
      </c>
      <c r="M155" s="11">
        <v>44852</v>
      </c>
      <c r="N155" s="13" t="str">
        <f t="shared" si="6"/>
        <v>Tue</v>
      </c>
      <c r="O155" s="13" t="str">
        <f t="shared" si="7"/>
        <v>Oct</v>
      </c>
      <c r="P155" s="13" t="str">
        <f t="shared" si="8"/>
        <v>2022</v>
      </c>
      <c r="Q155" s="6">
        <v>6.4</v>
      </c>
      <c r="R155" s="6">
        <v>24</v>
      </c>
      <c r="S155" s="6" t="s">
        <v>29</v>
      </c>
      <c r="T155" s="6">
        <v>33</v>
      </c>
    </row>
    <row r="156" spans="1:20" x14ac:dyDescent="0.35">
      <c r="A156" t="s">
        <v>712</v>
      </c>
      <c r="B156" s="6" t="s">
        <v>351</v>
      </c>
      <c r="C156" s="6">
        <v>36</v>
      </c>
      <c r="D156" s="6" t="s">
        <v>15</v>
      </c>
      <c r="E156" s="6" t="s">
        <v>52</v>
      </c>
      <c r="F156" s="6" t="s">
        <v>57</v>
      </c>
      <c r="G156" s="6" t="s">
        <v>31</v>
      </c>
      <c r="H156" s="6" t="s">
        <v>42</v>
      </c>
      <c r="I156" s="8">
        <v>748630.28</v>
      </c>
      <c r="J156" s="8">
        <v>748630.28</v>
      </c>
      <c r="K156" t="s">
        <v>352</v>
      </c>
      <c r="L156" s="6" t="s">
        <v>555</v>
      </c>
      <c r="M156" s="11" t="s">
        <v>555</v>
      </c>
      <c r="N156" s="13" t="str">
        <f t="shared" si="6"/>
        <v>N/A</v>
      </c>
      <c r="O156" s="13" t="str">
        <f t="shared" si="7"/>
        <v>N/A</v>
      </c>
      <c r="P156" s="13" t="str">
        <f t="shared" si="8"/>
        <v>N/A</v>
      </c>
      <c r="Q156" s="6">
        <v>4.9000000000000004</v>
      </c>
      <c r="R156" s="6">
        <v>21</v>
      </c>
      <c r="S156" s="6" t="s">
        <v>555</v>
      </c>
      <c r="T156" s="6">
        <v>55</v>
      </c>
    </row>
    <row r="157" spans="1:20" x14ac:dyDescent="0.35">
      <c r="A157" t="s">
        <v>713</v>
      </c>
      <c r="B157" s="6" t="s">
        <v>223</v>
      </c>
      <c r="C157" s="6">
        <v>30</v>
      </c>
      <c r="D157" s="6" t="s">
        <v>46</v>
      </c>
      <c r="E157" s="6" t="s">
        <v>63</v>
      </c>
      <c r="F157" s="6" t="s">
        <v>59</v>
      </c>
      <c r="G157" s="6" t="s">
        <v>60</v>
      </c>
      <c r="H157" s="6" t="s">
        <v>82</v>
      </c>
      <c r="I157" s="8">
        <v>222638.14</v>
      </c>
      <c r="J157" s="8">
        <v>222638.14</v>
      </c>
      <c r="K157" t="s">
        <v>224</v>
      </c>
      <c r="L157" s="6" t="s">
        <v>353</v>
      </c>
      <c r="M157" s="11">
        <v>42164</v>
      </c>
      <c r="N157" s="13" t="str">
        <f t="shared" si="6"/>
        <v>Tue</v>
      </c>
      <c r="O157" s="13" t="str">
        <f t="shared" si="7"/>
        <v>Jun</v>
      </c>
      <c r="P157" s="13" t="str">
        <f t="shared" si="8"/>
        <v>2015</v>
      </c>
      <c r="Q157" s="6">
        <v>100</v>
      </c>
      <c r="R157" s="6">
        <v>22</v>
      </c>
      <c r="S157" s="6" t="s">
        <v>53</v>
      </c>
      <c r="T157" s="6">
        <v>15</v>
      </c>
    </row>
    <row r="158" spans="1:20" x14ac:dyDescent="0.35">
      <c r="A158" t="s">
        <v>714</v>
      </c>
      <c r="B158" s="6" t="s">
        <v>532</v>
      </c>
      <c r="C158" s="6">
        <v>31</v>
      </c>
      <c r="D158" s="6" t="s">
        <v>46</v>
      </c>
      <c r="E158" s="6" t="s">
        <v>47</v>
      </c>
      <c r="F158" s="6" t="s">
        <v>48</v>
      </c>
      <c r="G158" s="6" t="s">
        <v>64</v>
      </c>
      <c r="H158" s="6" t="s">
        <v>42</v>
      </c>
      <c r="I158" s="8">
        <v>160907.65</v>
      </c>
      <c r="J158" s="8">
        <v>160907.65</v>
      </c>
      <c r="K158" t="s">
        <v>354</v>
      </c>
      <c r="L158" s="6" t="s">
        <v>355</v>
      </c>
      <c r="M158" s="11">
        <v>42991</v>
      </c>
      <c r="N158" s="13" t="str">
        <f t="shared" si="6"/>
        <v>Wed</v>
      </c>
      <c r="O158" s="13" t="str">
        <f t="shared" si="7"/>
        <v>Sept</v>
      </c>
      <c r="P158" s="13" t="str">
        <f t="shared" si="8"/>
        <v>2017</v>
      </c>
      <c r="Q158" s="6">
        <v>7.8</v>
      </c>
      <c r="R158" s="6">
        <v>9</v>
      </c>
      <c r="S158" s="6" t="s">
        <v>29</v>
      </c>
      <c r="T158" s="6" t="s">
        <v>555</v>
      </c>
    </row>
    <row r="159" spans="1:20" x14ac:dyDescent="0.35">
      <c r="A159" t="s">
        <v>715</v>
      </c>
      <c r="B159" s="6" t="s">
        <v>533</v>
      </c>
      <c r="C159" s="6">
        <v>25</v>
      </c>
      <c r="D159" s="6" t="s">
        <v>15</v>
      </c>
      <c r="E159" s="6" t="s">
        <v>47</v>
      </c>
      <c r="F159" s="6" t="s">
        <v>48</v>
      </c>
      <c r="G159" s="6" t="s">
        <v>31</v>
      </c>
      <c r="H159" s="6" t="s">
        <v>82</v>
      </c>
      <c r="J159" s="8">
        <v>0</v>
      </c>
      <c r="K159" t="s">
        <v>356</v>
      </c>
      <c r="L159" s="6" t="s">
        <v>555</v>
      </c>
      <c r="M159" s="11">
        <v>45586</v>
      </c>
      <c r="N159" s="13" t="str">
        <f t="shared" si="6"/>
        <v>Mon</v>
      </c>
      <c r="O159" s="13" t="str">
        <f t="shared" si="7"/>
        <v>Oct</v>
      </c>
      <c r="P159" s="13" t="str">
        <f t="shared" si="8"/>
        <v>2024</v>
      </c>
      <c r="Q159" s="6">
        <v>5.4</v>
      </c>
      <c r="R159" s="6">
        <v>12</v>
      </c>
      <c r="S159" s="6" t="s">
        <v>53</v>
      </c>
      <c r="T159" s="6">
        <v>71</v>
      </c>
    </row>
    <row r="160" spans="1:20" x14ac:dyDescent="0.35">
      <c r="A160" t="s">
        <v>716</v>
      </c>
      <c r="B160" s="6" t="s">
        <v>532</v>
      </c>
      <c r="C160" s="6">
        <v>43</v>
      </c>
      <c r="D160" s="6" t="s">
        <v>15</v>
      </c>
      <c r="E160" s="6" t="s">
        <v>25</v>
      </c>
      <c r="F160" s="6" t="s">
        <v>17</v>
      </c>
      <c r="G160" s="6" t="s">
        <v>60</v>
      </c>
      <c r="H160" s="6" t="s">
        <v>555</v>
      </c>
      <c r="I160" s="8">
        <v>93228</v>
      </c>
      <c r="J160" s="8">
        <v>93228</v>
      </c>
      <c r="K160" t="s">
        <v>354</v>
      </c>
      <c r="L160" s="6" t="s">
        <v>357</v>
      </c>
      <c r="M160" s="11">
        <v>40686</v>
      </c>
      <c r="N160" s="13" t="str">
        <f t="shared" si="6"/>
        <v>Mon</v>
      </c>
      <c r="O160" s="13" t="str">
        <f t="shared" si="7"/>
        <v>May</v>
      </c>
      <c r="P160" s="13" t="str">
        <f t="shared" si="8"/>
        <v>2011</v>
      </c>
      <c r="Q160" s="6">
        <v>6.9</v>
      </c>
      <c r="R160" s="6">
        <v>14</v>
      </c>
      <c r="S160" s="6" t="s">
        <v>555</v>
      </c>
      <c r="T160" s="6">
        <v>97</v>
      </c>
    </row>
    <row r="161" spans="1:20" x14ac:dyDescent="0.35">
      <c r="A161" t="s">
        <v>717</v>
      </c>
      <c r="B161" s="6" t="s">
        <v>534</v>
      </c>
      <c r="C161" s="6">
        <v>30</v>
      </c>
      <c r="D161" s="6" t="s">
        <v>15</v>
      </c>
      <c r="E161" s="6" t="s">
        <v>71</v>
      </c>
      <c r="F161" s="6" t="s">
        <v>34</v>
      </c>
      <c r="G161" s="6" t="s">
        <v>31</v>
      </c>
      <c r="H161" s="6" t="s">
        <v>42</v>
      </c>
      <c r="I161" s="8">
        <v>469774.76</v>
      </c>
      <c r="J161" s="8">
        <v>469774.76</v>
      </c>
      <c r="K161" t="s">
        <v>358</v>
      </c>
      <c r="L161" s="6" t="s">
        <v>359</v>
      </c>
      <c r="M161" s="11">
        <v>43702</v>
      </c>
      <c r="N161" s="13" t="str">
        <f t="shared" si="6"/>
        <v>Sun</v>
      </c>
      <c r="O161" s="13" t="str">
        <f t="shared" si="7"/>
        <v>Aug</v>
      </c>
      <c r="P161" s="13" t="str">
        <f t="shared" si="8"/>
        <v>2019</v>
      </c>
      <c r="Q161" s="6">
        <v>3.9</v>
      </c>
      <c r="R161" s="6">
        <v>20</v>
      </c>
      <c r="S161" s="6" t="s">
        <v>53</v>
      </c>
      <c r="T161" s="6">
        <v>30</v>
      </c>
    </row>
    <row r="162" spans="1:20" x14ac:dyDescent="0.35">
      <c r="A162" t="s">
        <v>718</v>
      </c>
      <c r="B162" s="6" t="s">
        <v>109</v>
      </c>
      <c r="C162" s="6" t="s">
        <v>555</v>
      </c>
      <c r="D162" s="6" t="s">
        <v>46</v>
      </c>
      <c r="E162" s="6" t="s">
        <v>71</v>
      </c>
      <c r="F162" s="6" t="s">
        <v>26</v>
      </c>
      <c r="G162" s="6" t="s">
        <v>68</v>
      </c>
      <c r="H162" s="6" t="s">
        <v>42</v>
      </c>
      <c r="I162" s="8">
        <v>789888.03</v>
      </c>
      <c r="J162" s="8">
        <v>789888.03</v>
      </c>
      <c r="K162" t="s">
        <v>110</v>
      </c>
      <c r="L162" s="6" t="s">
        <v>555</v>
      </c>
      <c r="M162" s="11">
        <v>40392</v>
      </c>
      <c r="N162" s="13" t="str">
        <f t="shared" si="6"/>
        <v>Mon</v>
      </c>
      <c r="O162" s="13" t="str">
        <f t="shared" si="7"/>
        <v>Aug</v>
      </c>
      <c r="P162" s="13" t="str">
        <f t="shared" si="8"/>
        <v>2010</v>
      </c>
      <c r="Q162" s="6">
        <v>2.5</v>
      </c>
      <c r="R162" s="6">
        <v>0</v>
      </c>
      <c r="S162" s="6" t="s">
        <v>53</v>
      </c>
      <c r="T162" s="6">
        <v>67</v>
      </c>
    </row>
    <row r="163" spans="1:20" x14ac:dyDescent="0.35">
      <c r="A163" t="s">
        <v>719</v>
      </c>
      <c r="B163" s="6" t="s">
        <v>535</v>
      </c>
      <c r="C163" s="6">
        <v>53</v>
      </c>
      <c r="D163" s="6" t="s">
        <v>15</v>
      </c>
      <c r="E163" s="6" t="s">
        <v>47</v>
      </c>
      <c r="F163" s="6" t="s">
        <v>41</v>
      </c>
      <c r="G163" s="6" t="s">
        <v>60</v>
      </c>
      <c r="H163" s="6" t="s">
        <v>42</v>
      </c>
      <c r="I163" s="8">
        <v>719062.58</v>
      </c>
      <c r="J163" s="8">
        <v>719062.58</v>
      </c>
      <c r="K163" t="s">
        <v>360</v>
      </c>
      <c r="L163" s="6" t="s">
        <v>361</v>
      </c>
      <c r="M163" s="11">
        <v>45188</v>
      </c>
      <c r="N163" s="13" t="str">
        <f t="shared" si="6"/>
        <v>Tue</v>
      </c>
      <c r="O163" s="13" t="str">
        <f t="shared" si="7"/>
        <v>Sept</v>
      </c>
      <c r="P163" s="13" t="str">
        <f t="shared" si="8"/>
        <v>2023</v>
      </c>
      <c r="Q163" s="6">
        <v>4.5</v>
      </c>
      <c r="R163" s="6">
        <v>12</v>
      </c>
      <c r="S163" s="6" t="s">
        <v>53</v>
      </c>
      <c r="T163" s="6">
        <v>77</v>
      </c>
    </row>
    <row r="164" spans="1:20" x14ac:dyDescent="0.35">
      <c r="A164" t="s">
        <v>720</v>
      </c>
      <c r="B164" s="6" t="s">
        <v>298</v>
      </c>
      <c r="C164" s="6">
        <v>25</v>
      </c>
      <c r="D164" s="6" t="s">
        <v>46</v>
      </c>
      <c r="E164" s="6" t="s">
        <v>52</v>
      </c>
      <c r="F164" s="6" t="s">
        <v>26</v>
      </c>
      <c r="G164" s="6" t="s">
        <v>18</v>
      </c>
      <c r="H164" s="6" t="s">
        <v>21</v>
      </c>
      <c r="I164" s="8">
        <v>413776.85</v>
      </c>
      <c r="J164" s="8">
        <v>413776.85</v>
      </c>
      <c r="K164" t="s">
        <v>299</v>
      </c>
      <c r="L164" s="6" t="s">
        <v>362</v>
      </c>
      <c r="M164" s="11">
        <v>43399</v>
      </c>
      <c r="N164" s="13" t="str">
        <f t="shared" si="6"/>
        <v>Fri</v>
      </c>
      <c r="O164" s="13" t="str">
        <f t="shared" si="7"/>
        <v>Oct</v>
      </c>
      <c r="P164" s="13" t="str">
        <f t="shared" si="8"/>
        <v>2018</v>
      </c>
      <c r="Q164" s="6">
        <v>1.8</v>
      </c>
      <c r="R164" s="6">
        <v>5</v>
      </c>
      <c r="S164" s="6" t="s">
        <v>53</v>
      </c>
      <c r="T164" s="6">
        <v>98</v>
      </c>
    </row>
    <row r="165" spans="1:20" x14ac:dyDescent="0.35">
      <c r="A165" t="s">
        <v>721</v>
      </c>
      <c r="B165" s="6" t="s">
        <v>536</v>
      </c>
      <c r="C165" s="6">
        <v>24</v>
      </c>
      <c r="D165" s="6" t="s">
        <v>15</v>
      </c>
      <c r="E165" s="6" t="s">
        <v>47</v>
      </c>
      <c r="F165" s="6" t="s">
        <v>26</v>
      </c>
      <c r="G165" s="6" t="s">
        <v>60</v>
      </c>
      <c r="H165" s="6" t="s">
        <v>42</v>
      </c>
      <c r="I165" s="8">
        <v>487153.94</v>
      </c>
      <c r="J165" s="8">
        <v>487153.94</v>
      </c>
      <c r="K165" t="s">
        <v>363</v>
      </c>
      <c r="L165" s="6" t="s">
        <v>364</v>
      </c>
      <c r="M165" s="11">
        <v>42702</v>
      </c>
      <c r="N165" s="13" t="str">
        <f t="shared" si="6"/>
        <v>Mon</v>
      </c>
      <c r="O165" s="13" t="str">
        <f t="shared" si="7"/>
        <v>Nov</v>
      </c>
      <c r="P165" s="13" t="str">
        <f t="shared" si="8"/>
        <v>2016</v>
      </c>
      <c r="Q165" s="6">
        <v>5.5</v>
      </c>
      <c r="R165" s="6">
        <v>31</v>
      </c>
      <c r="S165" s="6" t="s">
        <v>555</v>
      </c>
      <c r="T165" s="6">
        <v>45</v>
      </c>
    </row>
    <row r="166" spans="1:20" x14ac:dyDescent="0.35">
      <c r="A166" t="s">
        <v>722</v>
      </c>
      <c r="B166" s="6" t="s">
        <v>365</v>
      </c>
      <c r="C166" s="6">
        <v>37</v>
      </c>
      <c r="D166" s="6" t="s">
        <v>46</v>
      </c>
      <c r="E166" s="6" t="s">
        <v>63</v>
      </c>
      <c r="F166" s="6" t="s">
        <v>30</v>
      </c>
      <c r="G166" s="6" t="s">
        <v>20</v>
      </c>
      <c r="H166" s="6" t="s">
        <v>21</v>
      </c>
      <c r="I166" s="8">
        <v>532617.51</v>
      </c>
      <c r="J166" s="8">
        <v>532617.51</v>
      </c>
      <c r="K166" t="s">
        <v>366</v>
      </c>
      <c r="L166" s="6" t="s">
        <v>367</v>
      </c>
      <c r="M166" s="11">
        <v>40444</v>
      </c>
      <c r="N166" s="13" t="str">
        <f t="shared" si="6"/>
        <v>Thu</v>
      </c>
      <c r="O166" s="13" t="str">
        <f t="shared" si="7"/>
        <v>Sept</v>
      </c>
      <c r="P166" s="13" t="str">
        <f t="shared" si="8"/>
        <v>2010</v>
      </c>
      <c r="Q166" s="6">
        <v>6.9</v>
      </c>
      <c r="R166" s="6">
        <v>35</v>
      </c>
      <c r="S166" s="6" t="s">
        <v>53</v>
      </c>
      <c r="T166" s="6">
        <v>36</v>
      </c>
    </row>
    <row r="167" spans="1:20" x14ac:dyDescent="0.35">
      <c r="A167" t="s">
        <v>723</v>
      </c>
      <c r="B167" s="6" t="s">
        <v>537</v>
      </c>
      <c r="C167" s="6">
        <v>45</v>
      </c>
      <c r="D167" s="6" t="s">
        <v>46</v>
      </c>
      <c r="E167" s="6" t="s">
        <v>37</v>
      </c>
      <c r="F167" s="6" t="s">
        <v>57</v>
      </c>
      <c r="G167" s="6" t="s">
        <v>31</v>
      </c>
      <c r="H167" s="6" t="s">
        <v>42</v>
      </c>
      <c r="J167" s="8">
        <v>0</v>
      </c>
      <c r="K167" t="s">
        <v>368</v>
      </c>
      <c r="L167" s="6" t="s">
        <v>369</v>
      </c>
      <c r="M167" s="11">
        <v>44496</v>
      </c>
      <c r="N167" s="13" t="str">
        <f t="shared" si="6"/>
        <v>Wed</v>
      </c>
      <c r="O167" s="13" t="str">
        <f t="shared" si="7"/>
        <v>Oct</v>
      </c>
      <c r="P167" s="13" t="str">
        <f t="shared" si="8"/>
        <v>2021</v>
      </c>
      <c r="Q167" s="6">
        <v>7.5</v>
      </c>
      <c r="R167" s="6">
        <v>18</v>
      </c>
      <c r="S167" s="6" t="s">
        <v>53</v>
      </c>
      <c r="T167" s="6">
        <v>53</v>
      </c>
    </row>
    <row r="168" spans="1:20" x14ac:dyDescent="0.35">
      <c r="A168" t="s">
        <v>724</v>
      </c>
      <c r="B168" s="6" t="s">
        <v>538</v>
      </c>
      <c r="C168" s="6">
        <v>58</v>
      </c>
      <c r="D168" s="6" t="s">
        <v>555</v>
      </c>
      <c r="E168" s="6" t="s">
        <v>63</v>
      </c>
      <c r="F168" s="6" t="s">
        <v>48</v>
      </c>
      <c r="G168" s="6" t="s">
        <v>64</v>
      </c>
      <c r="H168" s="6" t="s">
        <v>42</v>
      </c>
      <c r="I168" s="8">
        <v>438373.6</v>
      </c>
      <c r="J168" s="8">
        <v>438373.6</v>
      </c>
      <c r="K168" t="s">
        <v>370</v>
      </c>
      <c r="L168" s="6" t="s">
        <v>371</v>
      </c>
      <c r="M168" s="11">
        <v>41147</v>
      </c>
      <c r="N168" s="13" t="str">
        <f t="shared" si="6"/>
        <v>Sun</v>
      </c>
      <c r="O168" s="13" t="str">
        <f t="shared" si="7"/>
        <v>Aug</v>
      </c>
      <c r="P168" s="13" t="str">
        <f t="shared" si="8"/>
        <v>2012</v>
      </c>
      <c r="Q168" s="6">
        <v>1.1000000000000001</v>
      </c>
      <c r="R168" s="6">
        <v>4</v>
      </c>
      <c r="S168" s="6" t="s">
        <v>555</v>
      </c>
      <c r="T168" s="6">
        <v>77</v>
      </c>
    </row>
    <row r="169" spans="1:20" x14ac:dyDescent="0.35">
      <c r="A169" t="s">
        <v>725</v>
      </c>
      <c r="B169" s="6" t="s">
        <v>114</v>
      </c>
      <c r="C169" s="6" t="s">
        <v>555</v>
      </c>
      <c r="D169" s="6" t="s">
        <v>46</v>
      </c>
      <c r="E169" s="6" t="s">
        <v>52</v>
      </c>
      <c r="F169" s="6" t="s">
        <v>26</v>
      </c>
      <c r="G169" s="6" t="s">
        <v>60</v>
      </c>
      <c r="H169" s="6" t="s">
        <v>42</v>
      </c>
      <c r="I169" s="8">
        <v>206452.94</v>
      </c>
      <c r="J169" s="8">
        <v>206452.94</v>
      </c>
      <c r="K169" t="s">
        <v>115</v>
      </c>
      <c r="L169" s="6" t="s">
        <v>555</v>
      </c>
      <c r="M169" s="11">
        <v>41291</v>
      </c>
      <c r="N169" s="13" t="str">
        <f t="shared" si="6"/>
        <v>Thu</v>
      </c>
      <c r="O169" s="13" t="str">
        <f t="shared" si="7"/>
        <v>Jan</v>
      </c>
      <c r="P169" s="13" t="str">
        <f t="shared" si="8"/>
        <v>2013</v>
      </c>
      <c r="Q169" s="6">
        <v>3.7</v>
      </c>
      <c r="R169" s="6" t="s">
        <v>555</v>
      </c>
      <c r="S169" s="6" t="s">
        <v>555</v>
      </c>
      <c r="T169" s="6">
        <v>80</v>
      </c>
    </row>
    <row r="170" spans="1:20" x14ac:dyDescent="0.35">
      <c r="A170" t="s">
        <v>726</v>
      </c>
      <c r="B170" s="6" t="s">
        <v>539</v>
      </c>
      <c r="C170" s="6">
        <v>39</v>
      </c>
      <c r="D170" s="6" t="s">
        <v>46</v>
      </c>
      <c r="E170" s="6" t="s">
        <v>52</v>
      </c>
      <c r="F170" s="6" t="s">
        <v>59</v>
      </c>
      <c r="G170" s="6" t="s">
        <v>20</v>
      </c>
      <c r="H170" s="6" t="s">
        <v>42</v>
      </c>
      <c r="I170" s="8">
        <v>350173.36</v>
      </c>
      <c r="J170" s="8">
        <v>350173.36</v>
      </c>
      <c r="K170" t="s">
        <v>372</v>
      </c>
      <c r="L170" s="6" t="s">
        <v>373</v>
      </c>
      <c r="M170" s="11">
        <v>42704</v>
      </c>
      <c r="N170" s="13" t="str">
        <f t="shared" si="6"/>
        <v>Wed</v>
      </c>
      <c r="O170" s="13" t="str">
        <f t="shared" si="7"/>
        <v>Nov</v>
      </c>
      <c r="P170" s="13" t="str">
        <f t="shared" si="8"/>
        <v>2016</v>
      </c>
      <c r="Q170" s="6">
        <v>5.7</v>
      </c>
      <c r="R170" s="6">
        <v>2</v>
      </c>
      <c r="S170" s="6" t="s">
        <v>29</v>
      </c>
      <c r="T170" s="6">
        <v>3</v>
      </c>
    </row>
    <row r="171" spans="1:20" x14ac:dyDescent="0.35">
      <c r="A171" t="s">
        <v>727</v>
      </c>
      <c r="B171" s="6" t="s">
        <v>480</v>
      </c>
      <c r="C171" s="6">
        <v>52</v>
      </c>
      <c r="D171" s="6" t="s">
        <v>555</v>
      </c>
      <c r="E171" s="6" t="s">
        <v>79</v>
      </c>
      <c r="F171" s="6" t="s">
        <v>48</v>
      </c>
      <c r="G171" s="6" t="s">
        <v>31</v>
      </c>
      <c r="H171" s="6" t="s">
        <v>42</v>
      </c>
      <c r="I171" s="8">
        <v>638383.91</v>
      </c>
      <c r="J171" s="8">
        <v>638383.91</v>
      </c>
      <c r="K171" t="s">
        <v>160</v>
      </c>
      <c r="L171" s="6" t="s">
        <v>374</v>
      </c>
      <c r="M171" s="11">
        <v>40478</v>
      </c>
      <c r="N171" s="13" t="str">
        <f t="shared" si="6"/>
        <v>Wed</v>
      </c>
      <c r="O171" s="13" t="str">
        <f t="shared" si="7"/>
        <v>Oct</v>
      </c>
      <c r="P171" s="13" t="str">
        <f t="shared" si="8"/>
        <v>2010</v>
      </c>
      <c r="Q171" s="6" t="s">
        <v>555</v>
      </c>
      <c r="R171" s="6">
        <v>19</v>
      </c>
      <c r="S171" s="6" t="s">
        <v>53</v>
      </c>
      <c r="T171" s="6">
        <v>19</v>
      </c>
    </row>
    <row r="172" spans="1:20" x14ac:dyDescent="0.35">
      <c r="A172" t="s">
        <v>728</v>
      </c>
      <c r="B172" s="6" t="s">
        <v>540</v>
      </c>
      <c r="C172" s="6">
        <v>29</v>
      </c>
      <c r="D172" s="6" t="s">
        <v>15</v>
      </c>
      <c r="E172" s="6" t="s">
        <v>37</v>
      </c>
      <c r="F172" s="6" t="s">
        <v>30</v>
      </c>
      <c r="G172" s="6" t="s">
        <v>60</v>
      </c>
      <c r="H172" s="6" t="s">
        <v>42</v>
      </c>
      <c r="I172" s="8">
        <v>162411.48000000001</v>
      </c>
      <c r="J172" s="8">
        <v>162411.48000000001</v>
      </c>
      <c r="K172" t="s">
        <v>375</v>
      </c>
      <c r="L172" s="6" t="s">
        <v>376</v>
      </c>
      <c r="M172" s="11">
        <v>42399</v>
      </c>
      <c r="N172" s="13" t="str">
        <f t="shared" si="6"/>
        <v>Sat</v>
      </c>
      <c r="O172" s="13" t="str">
        <f t="shared" si="7"/>
        <v>Jan</v>
      </c>
      <c r="P172" s="13" t="str">
        <f t="shared" si="8"/>
        <v>2016</v>
      </c>
      <c r="Q172" s="6">
        <v>1.3</v>
      </c>
      <c r="R172" s="6">
        <v>24</v>
      </c>
      <c r="S172" s="6" t="s">
        <v>53</v>
      </c>
      <c r="T172" s="6">
        <v>71</v>
      </c>
    </row>
    <row r="173" spans="1:20" x14ac:dyDescent="0.35">
      <c r="A173" t="s">
        <v>729</v>
      </c>
      <c r="B173" s="6" t="s">
        <v>322</v>
      </c>
      <c r="C173" s="6">
        <v>50</v>
      </c>
      <c r="D173" s="6" t="s">
        <v>46</v>
      </c>
      <c r="E173" s="6" t="s">
        <v>52</v>
      </c>
      <c r="F173" s="6" t="s">
        <v>26</v>
      </c>
      <c r="G173" s="6" t="s">
        <v>27</v>
      </c>
      <c r="H173" s="6" t="s">
        <v>32</v>
      </c>
      <c r="I173" s="8">
        <v>668558.22</v>
      </c>
      <c r="J173" s="8">
        <v>668558.22</v>
      </c>
      <c r="K173" t="s">
        <v>323</v>
      </c>
      <c r="L173" s="6" t="s">
        <v>555</v>
      </c>
      <c r="M173" s="11">
        <v>41258</v>
      </c>
      <c r="N173" s="13" t="str">
        <f t="shared" si="6"/>
        <v>Sat</v>
      </c>
      <c r="O173" s="13" t="str">
        <f t="shared" si="7"/>
        <v>Dec</v>
      </c>
      <c r="P173" s="13" t="str">
        <f t="shared" si="8"/>
        <v>2012</v>
      </c>
      <c r="Q173" s="6">
        <v>9.1999999999999993</v>
      </c>
      <c r="R173" s="6">
        <v>21</v>
      </c>
      <c r="S173" s="6" t="s">
        <v>29</v>
      </c>
      <c r="T173" s="6">
        <v>3</v>
      </c>
    </row>
    <row r="174" spans="1:20" x14ac:dyDescent="0.35">
      <c r="A174" t="s">
        <v>730</v>
      </c>
      <c r="B174" s="6" t="s">
        <v>541</v>
      </c>
      <c r="C174" s="6">
        <v>32</v>
      </c>
      <c r="D174" s="6" t="s">
        <v>46</v>
      </c>
      <c r="E174" s="6" t="s">
        <v>25</v>
      </c>
      <c r="F174" s="6" t="s">
        <v>17</v>
      </c>
      <c r="G174" s="6" t="s">
        <v>31</v>
      </c>
      <c r="H174" s="6" t="s">
        <v>82</v>
      </c>
      <c r="I174" s="8">
        <v>493768.35</v>
      </c>
      <c r="J174" s="8">
        <v>493768.35</v>
      </c>
      <c r="K174" s="6" t="s">
        <v>555</v>
      </c>
      <c r="L174" s="6" t="s">
        <v>377</v>
      </c>
      <c r="M174" s="11">
        <v>42653</v>
      </c>
      <c r="N174" s="13" t="str">
        <f t="shared" si="6"/>
        <v>Mon</v>
      </c>
      <c r="O174" s="13" t="str">
        <f t="shared" si="7"/>
        <v>Oct</v>
      </c>
      <c r="P174" s="13" t="str">
        <f t="shared" si="8"/>
        <v>2016</v>
      </c>
      <c r="Q174" s="6">
        <v>2.9</v>
      </c>
      <c r="R174" s="6">
        <v>27</v>
      </c>
      <c r="S174" s="6" t="s">
        <v>29</v>
      </c>
      <c r="T174" s="6">
        <v>24</v>
      </c>
    </row>
    <row r="175" spans="1:20" x14ac:dyDescent="0.35">
      <c r="A175" t="s">
        <v>731</v>
      </c>
      <c r="B175" s="6" t="s">
        <v>119</v>
      </c>
      <c r="C175" s="6">
        <v>58</v>
      </c>
      <c r="D175" s="6" t="s">
        <v>15</v>
      </c>
      <c r="E175" s="6" t="s">
        <v>79</v>
      </c>
      <c r="F175" s="6" t="s">
        <v>17</v>
      </c>
      <c r="G175" s="6" t="s">
        <v>27</v>
      </c>
      <c r="H175" s="6" t="s">
        <v>42</v>
      </c>
      <c r="J175" s="8">
        <v>0</v>
      </c>
      <c r="K175" t="s">
        <v>120</v>
      </c>
      <c r="L175" s="6" t="s">
        <v>555</v>
      </c>
      <c r="M175" s="11">
        <v>41069</v>
      </c>
      <c r="N175" s="13" t="str">
        <f t="shared" si="6"/>
        <v>Sat</v>
      </c>
      <c r="O175" s="13" t="str">
        <f t="shared" si="7"/>
        <v>Jun</v>
      </c>
      <c r="P175" s="13" t="str">
        <f t="shared" si="8"/>
        <v>2012</v>
      </c>
      <c r="Q175" s="6">
        <v>7.8</v>
      </c>
      <c r="R175" s="6">
        <v>18</v>
      </c>
      <c r="S175" s="6" t="s">
        <v>555</v>
      </c>
      <c r="T175" s="6">
        <v>21</v>
      </c>
    </row>
    <row r="176" spans="1:20" x14ac:dyDescent="0.35">
      <c r="A176" t="s">
        <v>732</v>
      </c>
      <c r="B176" s="6" t="s">
        <v>378</v>
      </c>
      <c r="C176" s="6">
        <v>41</v>
      </c>
      <c r="D176" s="6" t="s">
        <v>15</v>
      </c>
      <c r="E176" s="6" t="s">
        <v>75</v>
      </c>
      <c r="F176" s="6" t="s">
        <v>41</v>
      </c>
      <c r="G176" s="6" t="s">
        <v>60</v>
      </c>
      <c r="H176" s="6" t="s">
        <v>21</v>
      </c>
      <c r="I176" s="8">
        <v>596809.68000000005</v>
      </c>
      <c r="J176" s="8">
        <v>596809.68000000005</v>
      </c>
      <c r="K176" t="s">
        <v>379</v>
      </c>
      <c r="L176" s="6" t="s">
        <v>380</v>
      </c>
      <c r="M176" s="11">
        <v>41223</v>
      </c>
      <c r="N176" s="13" t="str">
        <f t="shared" si="6"/>
        <v>Sat</v>
      </c>
      <c r="O176" s="13" t="str">
        <f t="shared" si="7"/>
        <v>Nov</v>
      </c>
      <c r="P176" s="13" t="str">
        <f t="shared" si="8"/>
        <v>2012</v>
      </c>
      <c r="Q176" s="6">
        <v>8.8000000000000007</v>
      </c>
      <c r="R176" s="6">
        <v>25</v>
      </c>
      <c r="S176" s="6" t="s">
        <v>29</v>
      </c>
      <c r="T176" s="6">
        <v>38</v>
      </c>
    </row>
    <row r="177" spans="1:20" x14ac:dyDescent="0.35">
      <c r="A177" t="s">
        <v>733</v>
      </c>
      <c r="B177" s="6" t="s">
        <v>542</v>
      </c>
      <c r="C177" s="6">
        <v>30</v>
      </c>
      <c r="D177" s="6" t="s">
        <v>15</v>
      </c>
      <c r="E177" s="6" t="s">
        <v>16</v>
      </c>
      <c r="F177" s="6" t="s">
        <v>34</v>
      </c>
      <c r="G177" s="6" t="s">
        <v>31</v>
      </c>
      <c r="H177" s="6" t="s">
        <v>42</v>
      </c>
      <c r="I177" s="8">
        <v>745627.07</v>
      </c>
      <c r="J177" s="8">
        <v>745627.07</v>
      </c>
      <c r="K177" t="s">
        <v>381</v>
      </c>
      <c r="L177" s="6" t="s">
        <v>382</v>
      </c>
      <c r="M177" s="11">
        <v>40766</v>
      </c>
      <c r="N177" s="13" t="str">
        <f t="shared" si="6"/>
        <v>Thu</v>
      </c>
      <c r="O177" s="13" t="str">
        <f t="shared" si="7"/>
        <v>Aug</v>
      </c>
      <c r="P177" s="13" t="str">
        <f t="shared" si="8"/>
        <v>2011</v>
      </c>
      <c r="Q177" s="6">
        <v>9</v>
      </c>
      <c r="R177" s="6">
        <v>11</v>
      </c>
      <c r="S177" s="6" t="s">
        <v>53</v>
      </c>
      <c r="T177" s="6">
        <v>45</v>
      </c>
    </row>
    <row r="178" spans="1:20" x14ac:dyDescent="0.35">
      <c r="A178" t="s">
        <v>734</v>
      </c>
      <c r="B178" s="6" t="s">
        <v>543</v>
      </c>
      <c r="C178" s="6">
        <v>22</v>
      </c>
      <c r="D178" s="6" t="s">
        <v>46</v>
      </c>
      <c r="E178" s="6" t="s">
        <v>16</v>
      </c>
      <c r="F178" s="6" t="s">
        <v>48</v>
      </c>
      <c r="G178" s="6" t="s">
        <v>20</v>
      </c>
      <c r="H178" s="6" t="s">
        <v>42</v>
      </c>
      <c r="I178" s="8">
        <v>250459.98</v>
      </c>
      <c r="J178" s="8">
        <v>250459.98</v>
      </c>
      <c r="K178" t="s">
        <v>383</v>
      </c>
      <c r="L178" s="6" t="s">
        <v>555</v>
      </c>
      <c r="M178" s="11">
        <v>44137</v>
      </c>
      <c r="N178" s="13" t="str">
        <f t="shared" si="6"/>
        <v>Mon</v>
      </c>
      <c r="O178" s="13" t="str">
        <f t="shared" si="7"/>
        <v>Nov</v>
      </c>
      <c r="P178" s="13" t="str">
        <f t="shared" si="8"/>
        <v>2020</v>
      </c>
      <c r="Q178" s="6">
        <v>5.7</v>
      </c>
      <c r="R178" s="6">
        <v>15</v>
      </c>
      <c r="S178" s="6" t="s">
        <v>29</v>
      </c>
      <c r="T178" s="6">
        <v>67</v>
      </c>
    </row>
    <row r="179" spans="1:20" x14ac:dyDescent="0.35">
      <c r="A179" t="s">
        <v>735</v>
      </c>
      <c r="B179" s="6" t="s">
        <v>544</v>
      </c>
      <c r="C179" s="6">
        <v>25</v>
      </c>
      <c r="D179" s="6" t="s">
        <v>15</v>
      </c>
      <c r="E179" s="6" t="s">
        <v>37</v>
      </c>
      <c r="F179" s="6" t="s">
        <v>41</v>
      </c>
      <c r="G179" s="6" t="s">
        <v>27</v>
      </c>
      <c r="H179" s="6" t="s">
        <v>42</v>
      </c>
      <c r="I179" s="8">
        <v>87764.05</v>
      </c>
      <c r="J179" s="8">
        <v>87764.05</v>
      </c>
      <c r="K179" t="s">
        <v>384</v>
      </c>
      <c r="L179" s="6" t="s">
        <v>385</v>
      </c>
      <c r="M179" s="11">
        <v>42592</v>
      </c>
      <c r="N179" s="13" t="str">
        <f t="shared" si="6"/>
        <v>Wed</v>
      </c>
      <c r="O179" s="13" t="str">
        <f t="shared" si="7"/>
        <v>Aug</v>
      </c>
      <c r="P179" s="13" t="str">
        <f t="shared" si="8"/>
        <v>2016</v>
      </c>
      <c r="Q179" s="6">
        <v>6.2</v>
      </c>
      <c r="R179" s="6">
        <v>1</v>
      </c>
      <c r="S179" s="6" t="s">
        <v>29</v>
      </c>
      <c r="T179" s="6">
        <v>8</v>
      </c>
    </row>
    <row r="180" spans="1:20" x14ac:dyDescent="0.35">
      <c r="A180" t="s">
        <v>736</v>
      </c>
      <c r="B180" s="6" t="s">
        <v>545</v>
      </c>
      <c r="C180" s="6">
        <v>39</v>
      </c>
      <c r="D180" s="6" t="s">
        <v>15</v>
      </c>
      <c r="E180" s="6" t="s">
        <v>71</v>
      </c>
      <c r="F180" s="6" t="s">
        <v>57</v>
      </c>
      <c r="G180" s="6" t="s">
        <v>27</v>
      </c>
      <c r="H180" s="6" t="s">
        <v>42</v>
      </c>
      <c r="I180" s="8">
        <v>613829</v>
      </c>
      <c r="J180" s="8">
        <v>613829</v>
      </c>
      <c r="K180" t="s">
        <v>386</v>
      </c>
      <c r="L180" s="6" t="s">
        <v>387</v>
      </c>
      <c r="M180" s="11">
        <v>41615</v>
      </c>
      <c r="N180" s="13" t="str">
        <f t="shared" si="6"/>
        <v>Sat</v>
      </c>
      <c r="O180" s="13" t="str">
        <f t="shared" si="7"/>
        <v>Dec</v>
      </c>
      <c r="P180" s="13" t="str">
        <f t="shared" si="8"/>
        <v>2013</v>
      </c>
      <c r="Q180" s="6">
        <v>8.5</v>
      </c>
      <c r="R180" s="6">
        <v>24</v>
      </c>
      <c r="S180" s="6" t="s">
        <v>53</v>
      </c>
      <c r="T180" s="6">
        <v>17</v>
      </c>
    </row>
    <row r="181" spans="1:20" x14ac:dyDescent="0.35">
      <c r="A181" t="s">
        <v>737</v>
      </c>
      <c r="B181" s="6" t="s">
        <v>546</v>
      </c>
      <c r="C181" s="6">
        <v>29</v>
      </c>
      <c r="D181" s="6" t="s">
        <v>15</v>
      </c>
      <c r="E181" s="6" t="s">
        <v>71</v>
      </c>
      <c r="F181" s="6" t="s">
        <v>41</v>
      </c>
      <c r="G181" s="6" t="s">
        <v>60</v>
      </c>
      <c r="H181" s="6" t="s">
        <v>21</v>
      </c>
      <c r="I181" s="8">
        <v>422887</v>
      </c>
      <c r="J181" s="8">
        <v>422887</v>
      </c>
      <c r="K181" t="s">
        <v>388</v>
      </c>
      <c r="L181" s="6" t="s">
        <v>389</v>
      </c>
      <c r="M181" s="11">
        <v>42330</v>
      </c>
      <c r="N181" s="13" t="str">
        <f t="shared" si="6"/>
        <v>Sun</v>
      </c>
      <c r="O181" s="13" t="str">
        <f t="shared" si="7"/>
        <v>Nov</v>
      </c>
      <c r="P181" s="13" t="str">
        <f t="shared" si="8"/>
        <v>2015</v>
      </c>
      <c r="Q181" s="6">
        <v>9.3000000000000007</v>
      </c>
      <c r="R181" s="6">
        <v>27</v>
      </c>
      <c r="S181" s="6" t="s">
        <v>29</v>
      </c>
      <c r="T181" s="6">
        <v>34</v>
      </c>
    </row>
    <row r="182" spans="1:20" x14ac:dyDescent="0.35">
      <c r="A182" t="s">
        <v>738</v>
      </c>
      <c r="B182" s="6" t="s">
        <v>547</v>
      </c>
      <c r="C182" s="6">
        <v>47</v>
      </c>
      <c r="D182" s="6" t="s">
        <v>46</v>
      </c>
      <c r="E182" s="6" t="s">
        <v>52</v>
      </c>
      <c r="F182" s="6" t="s">
        <v>48</v>
      </c>
      <c r="G182" s="6" t="s">
        <v>20</v>
      </c>
      <c r="H182" s="6" t="s">
        <v>42</v>
      </c>
      <c r="I182" s="8">
        <v>254093.82</v>
      </c>
      <c r="J182" s="8">
        <v>254093.82</v>
      </c>
      <c r="K182" t="s">
        <v>390</v>
      </c>
      <c r="L182" s="6" t="s">
        <v>391</v>
      </c>
      <c r="M182" s="11">
        <v>44665</v>
      </c>
      <c r="N182" s="13" t="str">
        <f t="shared" si="6"/>
        <v>Thu</v>
      </c>
      <c r="O182" s="13" t="str">
        <f t="shared" si="7"/>
        <v>Apr</v>
      </c>
      <c r="P182" s="13" t="str">
        <f t="shared" si="8"/>
        <v>2022</v>
      </c>
      <c r="Q182" s="6">
        <v>1.3</v>
      </c>
      <c r="R182" s="6">
        <v>13</v>
      </c>
      <c r="S182" s="6" t="s">
        <v>29</v>
      </c>
      <c r="T182" s="6">
        <v>96</v>
      </c>
    </row>
    <row r="183" spans="1:20" x14ac:dyDescent="0.35">
      <c r="A183" t="s">
        <v>739</v>
      </c>
      <c r="B183" s="6" t="s">
        <v>392</v>
      </c>
      <c r="C183" s="6">
        <v>58</v>
      </c>
      <c r="D183" s="6" t="s">
        <v>15</v>
      </c>
      <c r="E183" s="6" t="s">
        <v>75</v>
      </c>
      <c r="F183" s="6" t="s">
        <v>59</v>
      </c>
      <c r="G183" s="6" t="s">
        <v>60</v>
      </c>
      <c r="H183" s="6" t="s">
        <v>32</v>
      </c>
      <c r="I183" s="8">
        <v>159808.46</v>
      </c>
      <c r="J183" s="8">
        <v>159808.46</v>
      </c>
      <c r="K183" s="6" t="s">
        <v>555</v>
      </c>
      <c r="L183" s="6" t="s">
        <v>393</v>
      </c>
      <c r="M183" s="11">
        <v>43676</v>
      </c>
      <c r="N183" s="13" t="str">
        <f t="shared" si="6"/>
        <v>Tue</v>
      </c>
      <c r="O183" s="13" t="str">
        <f t="shared" si="7"/>
        <v>Jul</v>
      </c>
      <c r="P183" s="13" t="str">
        <f t="shared" si="8"/>
        <v>2019</v>
      </c>
      <c r="Q183" s="6">
        <v>9.6</v>
      </c>
      <c r="R183" s="6">
        <v>31</v>
      </c>
      <c r="S183" s="6" t="s">
        <v>53</v>
      </c>
      <c r="T183" s="6">
        <v>18</v>
      </c>
    </row>
    <row r="184" spans="1:20" x14ac:dyDescent="0.35">
      <c r="A184" t="s">
        <v>740</v>
      </c>
      <c r="B184" s="6" t="s">
        <v>541</v>
      </c>
      <c r="C184" s="6">
        <v>35</v>
      </c>
      <c r="D184" s="6" t="s">
        <v>15</v>
      </c>
      <c r="E184" s="6" t="s">
        <v>16</v>
      </c>
      <c r="F184" s="6" t="s">
        <v>41</v>
      </c>
      <c r="G184" s="6" t="s">
        <v>27</v>
      </c>
      <c r="H184" s="6" t="s">
        <v>42</v>
      </c>
      <c r="I184" s="8">
        <v>397938.83</v>
      </c>
      <c r="J184" s="8">
        <v>397938.83</v>
      </c>
      <c r="K184" t="s">
        <v>394</v>
      </c>
      <c r="L184" s="6" t="s">
        <v>395</v>
      </c>
      <c r="M184" s="11">
        <v>44256</v>
      </c>
      <c r="N184" s="13" t="str">
        <f t="shared" si="6"/>
        <v>Mon</v>
      </c>
      <c r="O184" s="13" t="str">
        <f t="shared" si="7"/>
        <v>Mar</v>
      </c>
      <c r="P184" s="13" t="str">
        <f t="shared" si="8"/>
        <v>2021</v>
      </c>
      <c r="Q184" s="6">
        <v>5.6</v>
      </c>
      <c r="R184" s="6">
        <v>27</v>
      </c>
      <c r="S184" s="6" t="s">
        <v>29</v>
      </c>
      <c r="T184" s="6">
        <v>79</v>
      </c>
    </row>
    <row r="185" spans="1:20" x14ac:dyDescent="0.35">
      <c r="A185" t="s">
        <v>741</v>
      </c>
      <c r="B185" s="6" t="s">
        <v>396</v>
      </c>
      <c r="C185" s="6">
        <v>52</v>
      </c>
      <c r="D185" s="6" t="s">
        <v>15</v>
      </c>
      <c r="E185" s="6" t="s">
        <v>47</v>
      </c>
      <c r="F185" s="6" t="s">
        <v>59</v>
      </c>
      <c r="G185" s="6" t="s">
        <v>31</v>
      </c>
      <c r="H185" s="6" t="s">
        <v>42</v>
      </c>
      <c r="I185" s="8">
        <v>793952.99</v>
      </c>
      <c r="J185" s="8">
        <v>793952.99</v>
      </c>
      <c r="K185" t="s">
        <v>28</v>
      </c>
      <c r="L185" s="6" t="s">
        <v>397</v>
      </c>
      <c r="M185" s="11">
        <v>43171</v>
      </c>
      <c r="N185" s="13" t="str">
        <f t="shared" si="6"/>
        <v>Mon</v>
      </c>
      <c r="O185" s="13" t="str">
        <f t="shared" si="7"/>
        <v>Mar</v>
      </c>
      <c r="P185" s="13" t="str">
        <f t="shared" si="8"/>
        <v>2018</v>
      </c>
      <c r="Q185" s="6">
        <v>3.7</v>
      </c>
      <c r="R185" s="6">
        <v>22</v>
      </c>
      <c r="S185" s="6" t="s">
        <v>29</v>
      </c>
      <c r="T185" s="6">
        <v>19</v>
      </c>
    </row>
    <row r="186" spans="1:20" x14ac:dyDescent="0.35">
      <c r="A186" t="s">
        <v>742</v>
      </c>
      <c r="B186" s="6" t="s">
        <v>513</v>
      </c>
      <c r="C186" s="6">
        <v>37</v>
      </c>
      <c r="D186" s="6" t="s">
        <v>555</v>
      </c>
      <c r="E186" s="6" t="s">
        <v>52</v>
      </c>
      <c r="F186" s="6" t="s">
        <v>41</v>
      </c>
      <c r="G186" s="6" t="s">
        <v>64</v>
      </c>
      <c r="H186" s="6" t="s">
        <v>42</v>
      </c>
      <c r="I186" s="8">
        <v>469197.47</v>
      </c>
      <c r="J186" s="8">
        <v>469197.47</v>
      </c>
      <c r="K186" t="s">
        <v>290</v>
      </c>
      <c r="L186" s="6" t="s">
        <v>398</v>
      </c>
      <c r="M186" s="11">
        <v>42958</v>
      </c>
      <c r="N186" s="13" t="str">
        <f t="shared" si="6"/>
        <v>Fri</v>
      </c>
      <c r="O186" s="13" t="str">
        <f t="shared" si="7"/>
        <v>Aug</v>
      </c>
      <c r="P186" s="13" t="str">
        <f t="shared" si="8"/>
        <v>2017</v>
      </c>
      <c r="Q186" s="6">
        <v>7.7</v>
      </c>
      <c r="R186" s="6">
        <v>9</v>
      </c>
      <c r="S186" s="6" t="s">
        <v>29</v>
      </c>
      <c r="T186" s="6">
        <v>92</v>
      </c>
    </row>
    <row r="187" spans="1:20" x14ac:dyDescent="0.35">
      <c r="A187" t="s">
        <v>743</v>
      </c>
      <c r="B187" s="6" t="s">
        <v>532</v>
      </c>
      <c r="C187" s="6" t="s">
        <v>555</v>
      </c>
      <c r="D187" s="6" t="s">
        <v>46</v>
      </c>
      <c r="E187" s="6" t="s">
        <v>63</v>
      </c>
      <c r="F187" s="6" t="s">
        <v>57</v>
      </c>
      <c r="G187" s="6" t="s">
        <v>27</v>
      </c>
      <c r="H187" s="6" t="s">
        <v>42</v>
      </c>
      <c r="I187" s="8">
        <v>301282.88</v>
      </c>
      <c r="J187" s="8">
        <v>301282.88</v>
      </c>
      <c r="K187" t="s">
        <v>354</v>
      </c>
      <c r="L187" s="6" t="s">
        <v>399</v>
      </c>
      <c r="M187" s="11">
        <v>44251</v>
      </c>
      <c r="N187" s="13" t="str">
        <f t="shared" si="6"/>
        <v>Wed</v>
      </c>
      <c r="O187" s="13" t="str">
        <f t="shared" si="7"/>
        <v>Feb</v>
      </c>
      <c r="P187" s="13" t="str">
        <f t="shared" si="8"/>
        <v>2021</v>
      </c>
      <c r="Q187" s="6">
        <v>2.2000000000000002</v>
      </c>
      <c r="R187" s="6">
        <v>2</v>
      </c>
      <c r="S187" s="6" t="s">
        <v>29</v>
      </c>
      <c r="T187" s="6">
        <v>27</v>
      </c>
    </row>
    <row r="188" spans="1:20" x14ac:dyDescent="0.35">
      <c r="A188" t="s">
        <v>744</v>
      </c>
      <c r="B188" s="6" t="s">
        <v>548</v>
      </c>
      <c r="C188" s="6">
        <v>57</v>
      </c>
      <c r="D188" s="6" t="s">
        <v>555</v>
      </c>
      <c r="E188" s="6" t="s">
        <v>54</v>
      </c>
      <c r="F188" s="6" t="s">
        <v>34</v>
      </c>
      <c r="G188" s="6" t="s">
        <v>68</v>
      </c>
      <c r="H188" s="6" t="s">
        <v>42</v>
      </c>
      <c r="I188" s="8">
        <v>499029.78</v>
      </c>
      <c r="J188" s="8">
        <v>499029.78</v>
      </c>
      <c r="K188" t="s">
        <v>400</v>
      </c>
      <c r="L188" s="6" t="s">
        <v>401</v>
      </c>
      <c r="M188" s="11">
        <v>44168</v>
      </c>
      <c r="N188" s="13" t="str">
        <f t="shared" si="6"/>
        <v>Thu</v>
      </c>
      <c r="O188" s="13" t="str">
        <f t="shared" si="7"/>
        <v>Dec</v>
      </c>
      <c r="P188" s="13" t="str">
        <f t="shared" si="8"/>
        <v>2020</v>
      </c>
      <c r="Q188" s="6">
        <v>2.9</v>
      </c>
      <c r="R188" s="6">
        <v>26</v>
      </c>
      <c r="S188" s="6" t="s">
        <v>53</v>
      </c>
      <c r="T188" s="6">
        <v>4</v>
      </c>
    </row>
    <row r="189" spans="1:20" x14ac:dyDescent="0.35">
      <c r="A189" t="s">
        <v>745</v>
      </c>
      <c r="B189" s="6" t="s">
        <v>402</v>
      </c>
      <c r="C189" s="6" t="s">
        <v>555</v>
      </c>
      <c r="D189" s="6" t="s">
        <v>15</v>
      </c>
      <c r="E189" s="6" t="s">
        <v>52</v>
      </c>
      <c r="F189" s="6" t="s">
        <v>57</v>
      </c>
      <c r="G189" s="6" t="s">
        <v>60</v>
      </c>
      <c r="H189" s="6" t="s">
        <v>42</v>
      </c>
      <c r="I189" s="8">
        <v>249660.09</v>
      </c>
      <c r="J189" s="8">
        <v>249660.09</v>
      </c>
      <c r="K189" t="s">
        <v>339</v>
      </c>
      <c r="L189" s="6" t="s">
        <v>555</v>
      </c>
      <c r="M189" s="11">
        <v>41975</v>
      </c>
      <c r="N189" s="13" t="str">
        <f t="shared" si="6"/>
        <v>Tue</v>
      </c>
      <c r="O189" s="13" t="str">
        <f t="shared" si="7"/>
        <v>Dec</v>
      </c>
      <c r="P189" s="13" t="str">
        <f t="shared" si="8"/>
        <v>2014</v>
      </c>
      <c r="Q189" s="6">
        <v>6.8</v>
      </c>
      <c r="R189" s="6">
        <v>21</v>
      </c>
      <c r="S189" s="6" t="s">
        <v>53</v>
      </c>
      <c r="T189" s="6">
        <v>10</v>
      </c>
    </row>
    <row r="190" spans="1:20" x14ac:dyDescent="0.35">
      <c r="A190" t="s">
        <v>746</v>
      </c>
      <c r="B190" s="6" t="s">
        <v>403</v>
      </c>
      <c r="C190" s="6">
        <v>53</v>
      </c>
      <c r="D190" s="6" t="s">
        <v>46</v>
      </c>
      <c r="E190" s="6" t="s">
        <v>63</v>
      </c>
      <c r="F190" s="6" t="s">
        <v>48</v>
      </c>
      <c r="G190" s="6" t="s">
        <v>27</v>
      </c>
      <c r="H190" s="6" t="s">
        <v>42</v>
      </c>
      <c r="I190" s="8">
        <v>249415.88</v>
      </c>
      <c r="J190" s="8">
        <v>249415.88</v>
      </c>
      <c r="K190" t="s">
        <v>404</v>
      </c>
      <c r="L190" s="6" t="s">
        <v>405</v>
      </c>
      <c r="M190" s="11">
        <v>41081</v>
      </c>
      <c r="N190" s="13" t="str">
        <f t="shared" si="6"/>
        <v>Thu</v>
      </c>
      <c r="O190" s="13" t="str">
        <f t="shared" si="7"/>
        <v>Jun</v>
      </c>
      <c r="P190" s="13" t="str">
        <f t="shared" si="8"/>
        <v>2012</v>
      </c>
      <c r="Q190" s="6">
        <v>1.5</v>
      </c>
      <c r="R190" s="6">
        <v>29</v>
      </c>
      <c r="S190" s="6" t="s">
        <v>29</v>
      </c>
      <c r="T190" s="6">
        <v>72</v>
      </c>
    </row>
    <row r="191" spans="1:20" x14ac:dyDescent="0.35">
      <c r="A191" t="s">
        <v>747</v>
      </c>
      <c r="B191" s="6" t="s">
        <v>549</v>
      </c>
      <c r="C191" s="6">
        <v>43</v>
      </c>
      <c r="D191" s="6" t="s">
        <v>46</v>
      </c>
      <c r="E191" s="6" t="s">
        <v>79</v>
      </c>
      <c r="F191" s="6" t="s">
        <v>34</v>
      </c>
      <c r="G191" s="6" t="s">
        <v>72</v>
      </c>
      <c r="H191" s="6" t="s">
        <v>21</v>
      </c>
      <c r="I191" s="8">
        <v>122949.24</v>
      </c>
      <c r="J191" s="8">
        <v>122949.24</v>
      </c>
      <c r="K191" t="s">
        <v>406</v>
      </c>
      <c r="L191" s="6" t="s">
        <v>407</v>
      </c>
      <c r="M191" s="11">
        <v>42596</v>
      </c>
      <c r="N191" s="13" t="str">
        <f t="shared" si="6"/>
        <v>Sun</v>
      </c>
      <c r="O191" s="13" t="str">
        <f t="shared" si="7"/>
        <v>Aug</v>
      </c>
      <c r="P191" s="13" t="str">
        <f t="shared" si="8"/>
        <v>2016</v>
      </c>
      <c r="Q191" s="6" t="s">
        <v>555</v>
      </c>
      <c r="R191" s="6">
        <v>27</v>
      </c>
      <c r="S191" s="6" t="s">
        <v>53</v>
      </c>
      <c r="T191" s="6">
        <v>43</v>
      </c>
    </row>
    <row r="192" spans="1:20" x14ac:dyDescent="0.35">
      <c r="A192" t="s">
        <v>748</v>
      </c>
      <c r="B192" s="6" t="s">
        <v>524</v>
      </c>
      <c r="C192" s="6" t="s">
        <v>555</v>
      </c>
      <c r="D192" s="6" t="s">
        <v>46</v>
      </c>
      <c r="E192" s="6" t="s">
        <v>16</v>
      </c>
      <c r="F192" s="6" t="s">
        <v>41</v>
      </c>
      <c r="G192" s="6" t="s">
        <v>31</v>
      </c>
      <c r="H192" s="6" t="s">
        <v>42</v>
      </c>
      <c r="I192" s="8">
        <v>793716.92</v>
      </c>
      <c r="J192" s="8">
        <v>793716.92</v>
      </c>
      <c r="K192" t="s">
        <v>325</v>
      </c>
      <c r="L192" s="6" t="s">
        <v>408</v>
      </c>
      <c r="M192" s="11">
        <v>44236</v>
      </c>
      <c r="N192" s="13" t="str">
        <f t="shared" si="6"/>
        <v>Tue</v>
      </c>
      <c r="O192" s="13" t="str">
        <f t="shared" si="7"/>
        <v>Feb</v>
      </c>
      <c r="P192" s="13" t="str">
        <f t="shared" si="8"/>
        <v>2021</v>
      </c>
      <c r="Q192" s="6">
        <v>5.3</v>
      </c>
      <c r="R192" s="6">
        <v>1</v>
      </c>
      <c r="S192" s="6" t="s">
        <v>53</v>
      </c>
      <c r="T192" s="6">
        <v>87</v>
      </c>
    </row>
    <row r="193" spans="1:20" x14ac:dyDescent="0.35">
      <c r="A193" t="s">
        <v>749</v>
      </c>
      <c r="B193" s="6" t="s">
        <v>550</v>
      </c>
      <c r="C193" s="6" t="s">
        <v>555</v>
      </c>
      <c r="D193" s="6" t="s">
        <v>46</v>
      </c>
      <c r="E193" s="6" t="s">
        <v>75</v>
      </c>
      <c r="F193" s="6" t="s">
        <v>57</v>
      </c>
      <c r="G193" s="6" t="s">
        <v>60</v>
      </c>
      <c r="H193" s="6" t="s">
        <v>42</v>
      </c>
      <c r="I193" s="8">
        <v>531659.62</v>
      </c>
      <c r="J193" s="8">
        <v>531659.62</v>
      </c>
      <c r="K193" t="s">
        <v>409</v>
      </c>
      <c r="L193" s="6" t="s">
        <v>555</v>
      </c>
      <c r="M193" s="11">
        <v>45196</v>
      </c>
      <c r="N193" s="13" t="str">
        <f t="shared" si="6"/>
        <v>Wed</v>
      </c>
      <c r="O193" s="13" t="str">
        <f t="shared" si="7"/>
        <v>Sept</v>
      </c>
      <c r="P193" s="13" t="str">
        <f t="shared" si="8"/>
        <v>2023</v>
      </c>
      <c r="Q193" s="6">
        <v>2</v>
      </c>
      <c r="R193" s="6">
        <v>23</v>
      </c>
      <c r="S193" s="6" t="s">
        <v>29</v>
      </c>
      <c r="T193" s="6">
        <v>7</v>
      </c>
    </row>
    <row r="194" spans="1:20" x14ac:dyDescent="0.35">
      <c r="A194" t="s">
        <v>750</v>
      </c>
      <c r="B194" s="6" t="s">
        <v>551</v>
      </c>
      <c r="C194" s="6">
        <v>37</v>
      </c>
      <c r="D194" s="6" t="s">
        <v>46</v>
      </c>
      <c r="E194" s="6" t="s">
        <v>52</v>
      </c>
      <c r="F194" s="6" t="s">
        <v>17</v>
      </c>
      <c r="G194" s="6" t="s">
        <v>31</v>
      </c>
      <c r="H194" s="6" t="s">
        <v>42</v>
      </c>
      <c r="I194" s="8">
        <v>610913.65</v>
      </c>
      <c r="J194" s="8">
        <v>610913.65</v>
      </c>
      <c r="K194" t="s">
        <v>410</v>
      </c>
      <c r="L194" s="6" t="s">
        <v>411</v>
      </c>
      <c r="M194" s="11">
        <v>43068</v>
      </c>
      <c r="N194" s="13" t="str">
        <f t="shared" si="6"/>
        <v>Wed</v>
      </c>
      <c r="O194" s="13" t="str">
        <f t="shared" si="7"/>
        <v>Nov</v>
      </c>
      <c r="P194" s="13" t="str">
        <f t="shared" si="8"/>
        <v>2017</v>
      </c>
      <c r="Q194" s="6">
        <v>7.4</v>
      </c>
      <c r="R194" s="6">
        <v>18</v>
      </c>
      <c r="S194" s="6" t="s">
        <v>29</v>
      </c>
      <c r="T194" s="6">
        <v>95</v>
      </c>
    </row>
    <row r="195" spans="1:20" x14ac:dyDescent="0.35">
      <c r="A195" t="s">
        <v>751</v>
      </c>
      <c r="B195" s="6" t="s">
        <v>493</v>
      </c>
      <c r="C195" s="6">
        <v>27</v>
      </c>
      <c r="D195" s="6" t="s">
        <v>555</v>
      </c>
      <c r="E195" s="6" t="s">
        <v>16</v>
      </c>
      <c r="F195" s="6" t="s">
        <v>41</v>
      </c>
      <c r="G195" s="6" t="s">
        <v>60</v>
      </c>
      <c r="H195" s="6" t="s">
        <v>32</v>
      </c>
      <c r="I195" s="8" t="s">
        <v>412</v>
      </c>
      <c r="J195" s="8">
        <v>287628.34000000003</v>
      </c>
      <c r="K195" t="s">
        <v>204</v>
      </c>
      <c r="L195" s="6" t="s">
        <v>413</v>
      </c>
      <c r="M195" s="11">
        <v>41852</v>
      </c>
      <c r="N195" s="13" t="str">
        <f t="shared" ref="N195:N201" si="9">TEXT(M195,"ddd")</f>
        <v>Fri</v>
      </c>
      <c r="O195" s="13" t="str">
        <f t="shared" ref="O195:O201" si="10">TEXT(M195,"mmm")</f>
        <v>Aug</v>
      </c>
      <c r="P195" s="13" t="str">
        <f t="shared" ref="P195:P201" si="11">TEXT(M195,"yyyy")</f>
        <v>2014</v>
      </c>
      <c r="Q195" s="6" t="s">
        <v>555</v>
      </c>
      <c r="R195" s="6">
        <v>33</v>
      </c>
      <c r="S195" s="6" t="s">
        <v>53</v>
      </c>
      <c r="T195" s="6">
        <v>66</v>
      </c>
    </row>
    <row r="196" spans="1:20" x14ac:dyDescent="0.35">
      <c r="A196" t="s">
        <v>752</v>
      </c>
      <c r="B196" s="6" t="s">
        <v>132</v>
      </c>
      <c r="C196" s="6">
        <v>55</v>
      </c>
      <c r="D196" s="6" t="s">
        <v>15</v>
      </c>
      <c r="E196" s="6" t="s">
        <v>37</v>
      </c>
      <c r="F196" s="6" t="s">
        <v>41</v>
      </c>
      <c r="G196" s="6" t="s">
        <v>20</v>
      </c>
      <c r="H196" s="6" t="s">
        <v>42</v>
      </c>
      <c r="I196" s="8">
        <v>298939.28000000003</v>
      </c>
      <c r="J196" s="8">
        <v>298939.28000000003</v>
      </c>
      <c r="K196" t="s">
        <v>133</v>
      </c>
      <c r="L196" s="6" t="s">
        <v>414</v>
      </c>
      <c r="M196" s="11">
        <v>42539</v>
      </c>
      <c r="N196" s="13" t="str">
        <f t="shared" si="9"/>
        <v>Sat</v>
      </c>
      <c r="O196" s="13" t="str">
        <f t="shared" si="10"/>
        <v>Jun</v>
      </c>
      <c r="P196" s="13" t="str">
        <f t="shared" si="11"/>
        <v>2016</v>
      </c>
      <c r="Q196" s="6">
        <v>9.8000000000000007</v>
      </c>
      <c r="R196" s="6">
        <v>9</v>
      </c>
      <c r="S196" s="6" t="s">
        <v>29</v>
      </c>
      <c r="T196" s="6" t="s">
        <v>555</v>
      </c>
    </row>
    <row r="197" spans="1:20" x14ac:dyDescent="0.35">
      <c r="A197" t="s">
        <v>753</v>
      </c>
      <c r="B197" s="6" t="s">
        <v>552</v>
      </c>
      <c r="C197" s="6">
        <v>45</v>
      </c>
      <c r="D197" s="6" t="s">
        <v>46</v>
      </c>
      <c r="E197" s="6" t="s">
        <v>71</v>
      </c>
      <c r="F197" s="6" t="s">
        <v>17</v>
      </c>
      <c r="G197" s="6" t="s">
        <v>64</v>
      </c>
      <c r="H197" s="6" t="s">
        <v>42</v>
      </c>
      <c r="I197" s="8">
        <v>104976.14</v>
      </c>
      <c r="J197" s="8">
        <v>104976.14</v>
      </c>
      <c r="K197" t="s">
        <v>415</v>
      </c>
      <c r="L197" s="6" t="s">
        <v>555</v>
      </c>
      <c r="M197" s="11">
        <v>42649</v>
      </c>
      <c r="N197" s="13" t="str">
        <f t="shared" si="9"/>
        <v>Thu</v>
      </c>
      <c r="O197" s="13" t="str">
        <f t="shared" si="10"/>
        <v>Oct</v>
      </c>
      <c r="P197" s="13" t="str">
        <f t="shared" si="11"/>
        <v>2016</v>
      </c>
      <c r="Q197" s="6">
        <v>4</v>
      </c>
      <c r="R197" s="6">
        <v>18</v>
      </c>
      <c r="S197" s="6" t="s">
        <v>53</v>
      </c>
      <c r="T197" s="6">
        <v>57</v>
      </c>
    </row>
    <row r="198" spans="1:20" x14ac:dyDescent="0.35">
      <c r="A198" t="s">
        <v>754</v>
      </c>
      <c r="B198" s="6" t="s">
        <v>516</v>
      </c>
      <c r="C198" s="6">
        <v>43</v>
      </c>
      <c r="D198" s="6" t="s">
        <v>15</v>
      </c>
      <c r="E198" s="6" t="s">
        <v>47</v>
      </c>
      <c r="F198" s="6" t="s">
        <v>57</v>
      </c>
      <c r="G198" s="6" t="s">
        <v>68</v>
      </c>
      <c r="H198" s="6" t="s">
        <v>21</v>
      </c>
      <c r="I198" s="8">
        <v>728125.62</v>
      </c>
      <c r="J198" s="8">
        <v>728125.62</v>
      </c>
      <c r="K198" t="s">
        <v>302</v>
      </c>
      <c r="L198" s="6" t="s">
        <v>416</v>
      </c>
      <c r="M198" s="11">
        <v>43106</v>
      </c>
      <c r="N198" s="13" t="str">
        <f t="shared" si="9"/>
        <v>Sat</v>
      </c>
      <c r="O198" s="13" t="str">
        <f t="shared" si="10"/>
        <v>Jan</v>
      </c>
      <c r="P198" s="13" t="str">
        <f t="shared" si="11"/>
        <v>2018</v>
      </c>
      <c r="Q198" s="6">
        <v>9.8000000000000007</v>
      </c>
      <c r="R198" s="6">
        <v>32</v>
      </c>
      <c r="S198" s="6" t="s">
        <v>29</v>
      </c>
      <c r="T198" s="6">
        <v>15</v>
      </c>
    </row>
    <row r="199" spans="1:20" x14ac:dyDescent="0.35">
      <c r="A199" t="s">
        <v>755</v>
      </c>
      <c r="B199" s="6" t="s">
        <v>553</v>
      </c>
      <c r="C199" s="6">
        <v>22</v>
      </c>
      <c r="D199" s="6" t="s">
        <v>555</v>
      </c>
      <c r="E199" s="6" t="s">
        <v>37</v>
      </c>
      <c r="F199" s="6" t="s">
        <v>17</v>
      </c>
      <c r="G199" s="6" t="s">
        <v>68</v>
      </c>
      <c r="H199" s="6" t="s">
        <v>42</v>
      </c>
      <c r="J199" s="8">
        <v>0</v>
      </c>
      <c r="K199" t="s">
        <v>417</v>
      </c>
      <c r="L199" s="6" t="s">
        <v>418</v>
      </c>
      <c r="M199" s="11">
        <v>41520</v>
      </c>
      <c r="N199" s="13" t="str">
        <f t="shared" si="9"/>
        <v>Tue</v>
      </c>
      <c r="O199" s="13" t="str">
        <f t="shared" si="10"/>
        <v>Sept</v>
      </c>
      <c r="P199" s="13" t="str">
        <f t="shared" si="11"/>
        <v>2013</v>
      </c>
      <c r="Q199" s="6">
        <v>9.9</v>
      </c>
      <c r="R199" s="6">
        <v>24</v>
      </c>
      <c r="S199" s="6" t="s">
        <v>53</v>
      </c>
      <c r="T199" s="6">
        <v>27</v>
      </c>
    </row>
    <row r="200" spans="1:20" x14ac:dyDescent="0.35">
      <c r="A200" t="s">
        <v>756</v>
      </c>
      <c r="B200" s="6" t="s">
        <v>267</v>
      </c>
      <c r="C200" s="6">
        <v>30</v>
      </c>
      <c r="D200" s="6" t="s">
        <v>46</v>
      </c>
      <c r="E200" s="6" t="s">
        <v>79</v>
      </c>
      <c r="F200" s="6" t="s">
        <v>41</v>
      </c>
      <c r="G200" s="6" t="s">
        <v>31</v>
      </c>
      <c r="H200" s="6" t="s">
        <v>42</v>
      </c>
      <c r="I200" s="8">
        <v>288413.48</v>
      </c>
      <c r="J200" s="8">
        <v>288413.48</v>
      </c>
      <c r="K200" t="s">
        <v>268</v>
      </c>
      <c r="L200" s="6" t="s">
        <v>555</v>
      </c>
      <c r="M200" s="11">
        <v>43975</v>
      </c>
      <c r="N200" s="13" t="str">
        <f t="shared" si="9"/>
        <v>Sun</v>
      </c>
      <c r="O200" s="13" t="str">
        <f t="shared" si="10"/>
        <v>May</v>
      </c>
      <c r="P200" s="13" t="str">
        <f t="shared" si="11"/>
        <v>2020</v>
      </c>
      <c r="Q200" s="6">
        <v>5.4</v>
      </c>
      <c r="R200" s="6">
        <v>7</v>
      </c>
      <c r="S200" s="6" t="s">
        <v>53</v>
      </c>
      <c r="T200" s="6">
        <v>7</v>
      </c>
    </row>
    <row r="201" spans="1:20" x14ac:dyDescent="0.35">
      <c r="A201" t="s">
        <v>757</v>
      </c>
      <c r="B201" s="6" t="s">
        <v>554</v>
      </c>
      <c r="C201" s="6">
        <v>49</v>
      </c>
      <c r="D201" s="6" t="s">
        <v>46</v>
      </c>
      <c r="E201" s="6" t="s">
        <v>63</v>
      </c>
      <c r="F201" s="6" t="s">
        <v>34</v>
      </c>
      <c r="G201" s="6" t="s">
        <v>60</v>
      </c>
      <c r="H201" s="6" t="s">
        <v>32</v>
      </c>
      <c r="I201" s="8">
        <v>422749.31</v>
      </c>
      <c r="J201" s="8">
        <v>422749.31</v>
      </c>
      <c r="K201" t="s">
        <v>419</v>
      </c>
      <c r="L201" s="6" t="s">
        <v>555</v>
      </c>
      <c r="M201" s="11">
        <v>40658</v>
      </c>
      <c r="N201" s="13" t="str">
        <f t="shared" si="9"/>
        <v>Mon</v>
      </c>
      <c r="O201" s="13" t="str">
        <f t="shared" si="10"/>
        <v>Apr</v>
      </c>
      <c r="P201" s="13" t="str">
        <f t="shared" si="11"/>
        <v>2011</v>
      </c>
      <c r="Q201" s="6">
        <v>3.6</v>
      </c>
      <c r="R201" s="6">
        <v>12</v>
      </c>
      <c r="S201" s="6" t="s">
        <v>53</v>
      </c>
      <c r="T201" s="6">
        <v>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0211-607F-428B-BF66-3EB02575B719}">
  <dimension ref="A2:H17"/>
  <sheetViews>
    <sheetView workbookViewId="0">
      <selection activeCell="B11" sqref="B11"/>
    </sheetView>
  </sheetViews>
  <sheetFormatPr defaultRowHeight="14.5" x14ac:dyDescent="0.35"/>
  <cols>
    <col min="1" max="1" width="17.6328125" bestFit="1" customWidth="1"/>
    <col min="2" max="2" width="29.26953125" bestFit="1" customWidth="1"/>
    <col min="3" max="3" width="56.54296875" bestFit="1" customWidth="1"/>
    <col min="4" max="4" width="50.36328125" bestFit="1" customWidth="1"/>
  </cols>
  <sheetData>
    <row r="2" spans="1:8" x14ac:dyDescent="0.35">
      <c r="A2" s="3" t="s">
        <v>420</v>
      </c>
      <c r="B2" s="3" t="s">
        <v>421</v>
      </c>
      <c r="C2" s="3" t="s">
        <v>760</v>
      </c>
      <c r="D2" s="2"/>
      <c r="E2" s="2"/>
      <c r="F2" s="2"/>
      <c r="G2" s="2"/>
      <c r="H2" s="2"/>
    </row>
    <row r="3" spans="1:8" x14ac:dyDescent="0.35">
      <c r="A3" t="s">
        <v>557</v>
      </c>
      <c r="B3" t="s">
        <v>758</v>
      </c>
      <c r="C3" t="s">
        <v>759</v>
      </c>
      <c r="D3" t="s">
        <v>424</v>
      </c>
    </row>
    <row r="4" spans="1:8" x14ac:dyDescent="0.35">
      <c r="A4" t="s">
        <v>446</v>
      </c>
      <c r="B4" t="s">
        <v>423</v>
      </c>
      <c r="C4" t="s">
        <v>765</v>
      </c>
      <c r="D4" t="s">
        <v>426</v>
      </c>
    </row>
    <row r="5" spans="1:8" x14ac:dyDescent="0.35">
      <c r="A5" t="s">
        <v>1</v>
      </c>
      <c r="B5" t="s">
        <v>761</v>
      </c>
      <c r="C5" t="s">
        <v>762</v>
      </c>
      <c r="D5" t="s">
        <v>428</v>
      </c>
    </row>
    <row r="6" spans="1:8" x14ac:dyDescent="0.35">
      <c r="A6" t="s">
        <v>2</v>
      </c>
      <c r="B6" t="s">
        <v>763</v>
      </c>
      <c r="C6" t="s">
        <v>764</v>
      </c>
      <c r="D6" t="s">
        <v>430</v>
      </c>
    </row>
    <row r="7" spans="1:8" x14ac:dyDescent="0.35">
      <c r="A7" t="s">
        <v>3</v>
      </c>
      <c r="B7" t="s">
        <v>763</v>
      </c>
      <c r="C7" t="s">
        <v>764</v>
      </c>
      <c r="D7" t="s">
        <v>431</v>
      </c>
    </row>
    <row r="8" spans="1:8" x14ac:dyDescent="0.35">
      <c r="A8" t="s">
        <v>766</v>
      </c>
      <c r="B8" t="s">
        <v>763</v>
      </c>
      <c r="C8" t="s">
        <v>764</v>
      </c>
      <c r="D8" t="s">
        <v>432</v>
      </c>
    </row>
    <row r="9" spans="1:8" x14ac:dyDescent="0.35">
      <c r="A9" t="s">
        <v>5</v>
      </c>
      <c r="B9" t="s">
        <v>767</v>
      </c>
      <c r="C9" t="s">
        <v>764</v>
      </c>
      <c r="D9" t="s">
        <v>433</v>
      </c>
    </row>
    <row r="10" spans="1:8" x14ac:dyDescent="0.35">
      <c r="A10" t="s">
        <v>6</v>
      </c>
      <c r="B10" t="s">
        <v>763</v>
      </c>
      <c r="C10" t="s">
        <v>768</v>
      </c>
      <c r="D10" t="s">
        <v>435</v>
      </c>
    </row>
    <row r="11" spans="1:8" x14ac:dyDescent="0.35">
      <c r="A11" t="s">
        <v>7</v>
      </c>
      <c r="B11" t="s">
        <v>763</v>
      </c>
      <c r="D11" t="s">
        <v>437</v>
      </c>
    </row>
    <row r="12" spans="1:8" x14ac:dyDescent="0.35">
      <c r="A12" t="s">
        <v>10</v>
      </c>
      <c r="D12" t="s">
        <v>438</v>
      </c>
    </row>
    <row r="13" spans="1:8" x14ac:dyDescent="0.35">
      <c r="A13" t="s">
        <v>11</v>
      </c>
      <c r="D13" t="s">
        <v>440</v>
      </c>
    </row>
    <row r="14" spans="1:8" x14ac:dyDescent="0.35">
      <c r="A14" t="s">
        <v>12</v>
      </c>
      <c r="D14" t="s">
        <v>441</v>
      </c>
    </row>
    <row r="15" spans="1:8" x14ac:dyDescent="0.35">
      <c r="A15" t="s">
        <v>13</v>
      </c>
      <c r="D15" t="s">
        <v>442</v>
      </c>
    </row>
    <row r="16" spans="1:8" x14ac:dyDescent="0.35">
      <c r="A16" t="s">
        <v>14</v>
      </c>
      <c r="D16" t="s">
        <v>445</v>
      </c>
    </row>
    <row r="17" spans="1:1" x14ac:dyDescent="0.35">
      <c r="A17" t="s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workbookViewId="0">
      <selection activeCell="B18" sqref="B18"/>
    </sheetView>
  </sheetViews>
  <sheetFormatPr defaultRowHeight="14.5" x14ac:dyDescent="0.35"/>
  <cols>
    <col min="1" max="1" width="21" customWidth="1"/>
    <col min="2" max="2" width="27" customWidth="1"/>
    <col min="3" max="3" width="52" customWidth="1"/>
  </cols>
  <sheetData>
    <row r="1" spans="1:3" x14ac:dyDescent="0.35">
      <c r="A1" s="4" t="s">
        <v>420</v>
      </c>
      <c r="B1" s="4" t="s">
        <v>421</v>
      </c>
      <c r="C1" s="4" t="s">
        <v>422</v>
      </c>
    </row>
    <row r="2" spans="1:3" x14ac:dyDescent="0.35">
      <c r="A2" t="s">
        <v>0</v>
      </c>
      <c r="B2" t="s">
        <v>423</v>
      </c>
      <c r="C2" t="s">
        <v>424</v>
      </c>
    </row>
    <row r="3" spans="1:3" x14ac:dyDescent="0.35">
      <c r="A3" t="s">
        <v>1</v>
      </c>
      <c r="B3" t="s">
        <v>425</v>
      </c>
      <c r="C3" t="s">
        <v>426</v>
      </c>
    </row>
    <row r="4" spans="1:3" x14ac:dyDescent="0.35">
      <c r="A4" t="s">
        <v>2</v>
      </c>
      <c r="B4" t="s">
        <v>427</v>
      </c>
      <c r="C4" t="s">
        <v>428</v>
      </c>
    </row>
    <row r="5" spans="1:3" x14ac:dyDescent="0.35">
      <c r="A5" t="s">
        <v>3</v>
      </c>
      <c r="B5" t="s">
        <v>429</v>
      </c>
      <c r="C5" t="s">
        <v>430</v>
      </c>
    </row>
    <row r="6" spans="1:3" x14ac:dyDescent="0.35">
      <c r="A6" t="s">
        <v>4</v>
      </c>
      <c r="B6" t="s">
        <v>429</v>
      </c>
      <c r="C6" t="s">
        <v>431</v>
      </c>
    </row>
    <row r="7" spans="1:3" x14ac:dyDescent="0.35">
      <c r="A7" t="s">
        <v>5</v>
      </c>
      <c r="B7" t="s">
        <v>423</v>
      </c>
      <c r="C7" t="s">
        <v>432</v>
      </c>
    </row>
    <row r="8" spans="1:3" x14ac:dyDescent="0.35">
      <c r="A8" t="s">
        <v>6</v>
      </c>
      <c r="B8" t="s">
        <v>427</v>
      </c>
      <c r="C8" t="s">
        <v>433</v>
      </c>
    </row>
    <row r="9" spans="1:3" x14ac:dyDescent="0.35">
      <c r="A9" t="s">
        <v>7</v>
      </c>
      <c r="B9" t="s">
        <v>434</v>
      </c>
      <c r="C9" t="s">
        <v>435</v>
      </c>
    </row>
    <row r="10" spans="1:3" x14ac:dyDescent="0.35">
      <c r="A10" t="s">
        <v>10</v>
      </c>
      <c r="B10" t="s">
        <v>436</v>
      </c>
      <c r="C10" t="s">
        <v>437</v>
      </c>
    </row>
    <row r="11" spans="1:3" x14ac:dyDescent="0.35">
      <c r="A11" t="s">
        <v>11</v>
      </c>
      <c r="B11" t="s">
        <v>425</v>
      </c>
      <c r="C11" t="s">
        <v>438</v>
      </c>
    </row>
    <row r="12" spans="1:3" x14ac:dyDescent="0.35">
      <c r="A12" t="s">
        <v>12</v>
      </c>
      <c r="B12" t="s">
        <v>439</v>
      </c>
      <c r="C12" t="s">
        <v>440</v>
      </c>
    </row>
    <row r="13" spans="1:3" x14ac:dyDescent="0.35">
      <c r="A13" t="s">
        <v>13</v>
      </c>
      <c r="B13" t="s">
        <v>427</v>
      </c>
      <c r="C13" t="s">
        <v>441</v>
      </c>
    </row>
    <row r="14" spans="1:3" x14ac:dyDescent="0.35">
      <c r="A14" t="s">
        <v>14</v>
      </c>
      <c r="B14" t="s">
        <v>439</v>
      </c>
      <c r="C14" t="s">
        <v>442</v>
      </c>
    </row>
    <row r="15" spans="1:3" x14ac:dyDescent="0.35">
      <c r="A15" t="s">
        <v>443</v>
      </c>
      <c r="B15" t="s">
        <v>444</v>
      </c>
      <c r="C15" t="s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Data_Issues</vt:lpstr>
      <vt:lpstr>Data_Issues_Guide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Onoriode Jeremih Atuke</cp:lastModifiedBy>
  <dcterms:created xsi:type="dcterms:W3CDTF">2026-04-09T13:12:07Z</dcterms:created>
  <dcterms:modified xsi:type="dcterms:W3CDTF">2026-05-22T00:00:30Z</dcterms:modified>
</cp:coreProperties>
</file>